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6000"/>
  </bookViews>
  <sheets>
    <sheet name="How to Use" sheetId="1" r:id="rId1"/>
    <sheet name="Actual Game" sheetId="2" r:id="rId2"/>
    <sheet name="App Log" sheetId="3" r:id="rId3"/>
    <sheet name="Reconciliation" sheetId="4" r:id="rId4"/>
  </sheets>
  <calcPr calcId="171027" calcMode="auto" fullCalcOnLoad="1" forceFullCalc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2" borderId="0" xfId="0" applyAlignment="1" applyFill="1">
      <alignment horizontal="center" vertical="center"/>
    </xf>
    <xf numFmtId="0" fontId="2" fillId="3" borderId="1" xfId="0" applyAlignment="1" applyFill="1" applyBorder="1">
      <alignment horizontal="center" vertical="center" wrapText="1"/>
    </xf>
    <xf numFmtId="0" fontId="3" fillId="4" borderId="1" xfId="0" applyAlignment="1" applyFill="1" applyBorder="1">
      <alignment vertical="center" wrapText="1"/>
    </xf>
    <xf numFmtId="0" fontId="0" fillId="7" borderId="1" xfId="0" applyAlignment="1" applyFill="1" applyBorder="1">
      <alignment vertical="center" wrapText="1"/>
    </xf>
    <xf numFmtId="0" fontId="0" fillId="4" borderId="1" xfId="0" applyAlignment="1" applyFill="1" applyBorder="1">
      <alignment vertical="center" wrapText="1"/>
    </xf>
    <xf numFmtId="0" fontId="0" fillId="5" borderId="1" xfId="0" applyAlignment="1" applyFill="1" applyBorder="1">
      <alignment horizontal="center" vertical="center"/>
    </xf>
    <xf numFmtId="0" fontId="0" fillId="6" borderId="1" xfId="0" applyAlignment="1" applyFill="1" applyBorder="1">
      <alignment horizontal="center" vertical="center"/>
    </xf>
    <xf numFmtId="0" fontId="0" fillId="5" borderId="1" xfId="0" applyAlignment="1" applyFill="1" applyBorder="1">
      <alignment horizontal="center" vertical="center"/>
    </xf>
    <xf numFmtId="0" fontId="0" fillId="6" borderId="1" xfId="0" applyAlignment="1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</cols>
  <sheetData>
    <row r="1" ht="28" customHeight="1">
      <c r="A1" t="inlineStr" s="1">
        <is>
          <t>PitchMark TV Game Test Workbook</t>
        </is>
      </c>
      <c r="B1" s="1"/>
      <c r="C1" s="1"/>
      <c r="D1" s="1"/>
      <c r="E1" s="1"/>
      <c r="F1" s="1"/>
      <c r="G1" s="1"/>
      <c r="H1" s="1"/>
      <c r="I1" s="1"/>
    </row>
    <row r="2" ht="34" customHeight="1">
      <c r="A2" t="inlineStr" s="4">
        <is>
          <t>Designed for live TV-game testing: one person logs the real game, one logs what the app captured, then the reconciliation sheet points to the mismatches.</t>
        </is>
      </c>
      <c r="B2" s="4"/>
      <c r="C2" s="4"/>
      <c r="D2" s="4"/>
      <c r="E2" s="4"/>
      <c r="F2" s="4"/>
      <c r="G2" s="4"/>
      <c r="H2" s="4"/>
      <c r="I2" s="4"/>
    </row>
    <row r="4" ht="20" customHeight="1">
      <c r="A4" t="inlineStr" s="2">
        <is>
          <t>How to use</t>
        </is>
      </c>
      <c r="B4" s="2"/>
      <c r="C4" s="2"/>
      <c r="D4" s="2"/>
      <c r="E4" s="2"/>
      <c r="F4" s="2"/>
      <c r="G4" s="2"/>
      <c r="H4" s="2"/>
      <c r="I4" s="2"/>
    </row>
    <row r="5" ht="22" customHeight="1">
      <c r="A5" t="inlineStr" s="4">
        <is>
          <t>1. Use the Actual Game sheet for the TV-side observer.</t>
        </is>
      </c>
      <c r="B5" s="4"/>
      <c r="C5" s="4"/>
      <c r="D5" s="4"/>
      <c r="E5" s="4"/>
      <c r="F5" s="4"/>
      <c r="G5" s="4"/>
      <c r="H5" s="4"/>
      <c r="I5" s="4"/>
    </row>
    <row r="6" ht="22" customHeight="1">
      <c r="A6" t="inlineStr" s="4">
        <is>
          <t>2. Use the App Log sheet for the app entry stream.</t>
        </is>
      </c>
      <c r="B6" s="4"/>
      <c r="C6" s="4"/>
      <c r="D6" s="4"/>
      <c r="E6" s="4"/>
      <c r="F6" s="4"/>
      <c r="G6" s="4"/>
      <c r="H6" s="4"/>
      <c r="I6" s="4"/>
    </row>
    <row r="7" ht="22" customHeight="1">
      <c r="A7" t="inlineStr" s="4">
        <is>
          <t>3. Keep Event IDs aligned row-by-row if you want clean reconciliation.</t>
        </is>
      </c>
      <c r="B7" s="4"/>
      <c r="C7" s="4"/>
      <c r="D7" s="4"/>
      <c r="E7" s="4"/>
      <c r="F7" s="4"/>
      <c r="G7" s="4"/>
      <c r="H7" s="4"/>
      <c r="I7" s="4"/>
    </row>
    <row r="8" ht="22" customHeight="1">
      <c r="A8" t="inlineStr" s="4">
        <is>
          <t>4. Enter Count Before as text like 2-1 so it matches exactly.</t>
        </is>
      </c>
      <c r="B8" s="4"/>
      <c r="C8" s="4"/>
      <c r="D8" s="4"/>
      <c r="E8" s="4"/>
      <c r="F8" s="4"/>
      <c r="G8" s="4"/>
      <c r="H8" s="4"/>
      <c r="I8" s="4"/>
    </row>
    <row r="9" ht="22" customHeight="1">
      <c r="A9" t="inlineStr" s="4">
        <is>
          <t>5. Check the Reconciliation sheet for MATCH / CHECK status and review any DIFF cells.</t>
        </is>
      </c>
      <c r="B9" s="4"/>
      <c r="C9" s="4"/>
      <c r="D9" s="4"/>
      <c r="E9" s="4"/>
      <c r="F9" s="4"/>
      <c r="G9" s="4"/>
      <c r="H9" s="4"/>
      <c r="I9" s="4"/>
    </row>
    <row r="11" ht="20" customHeight="1">
      <c r="A11" t="inlineStr" s="2">
        <is>
          <t>Suggested columns</t>
        </is>
      </c>
      <c r="B11" s="2"/>
      <c r="C11" s="2"/>
      <c r="D11" s="2"/>
      <c r="E11" s="2"/>
      <c r="F11" s="2"/>
      <c r="G11" s="2"/>
      <c r="H11" s="2"/>
      <c r="I11" s="2"/>
    </row>
    <row r="12" ht="22" customHeight="1">
      <c r="A12" t="inlineStr" s="4">
        <is>
          <t>Event ID, Inning, Half, Outs Before, Count Before, Event Type, Pitch / Play Detail, Zone / Location, Call / Result, Base State, Runs This Event, Notes</t>
        </is>
      </c>
      <c r="B12" s="4"/>
      <c r="C12" s="4"/>
      <c r="D12" s="4"/>
      <c r="E12" s="4"/>
      <c r="F12" s="4"/>
      <c r="G12" s="4"/>
      <c r="H12" s="4"/>
      <c r="I12" s="4"/>
    </row>
    <row r="13" ht="22" customHeight="1">
      <c r="A13" t="inlineStr" s="4">
        <is>
          <t>Use short, consistent text so mismatches stand out immediately.</t>
        </is>
      </c>
      <c r="B13" s="4"/>
      <c r="C13" s="4"/>
      <c r="D13" s="4"/>
      <c r="E13" s="4"/>
      <c r="F13" s="4"/>
      <c r="G13" s="4"/>
      <c r="H13" s="4"/>
      <c r="I13" s="4"/>
    </row>
    <row r="15" ht="20" customHeight="1">
      <c r="A15" t="inlineStr" s="2">
        <is>
          <t>Legend</t>
        </is>
      </c>
      <c r="B15" s="2"/>
      <c r="C15" s="2"/>
      <c r="D15" s="2"/>
      <c r="E15" s="2"/>
      <c r="F15" s="2"/>
      <c r="G15" s="2"/>
      <c r="H15" s="2"/>
      <c r="I15" s="2"/>
    </row>
    <row r="16" ht="21" customHeight="1">
      <c r="A16" t="inlineStr" s="4">
        <is>
          <t>Yellow cells</t>
        </is>
      </c>
      <c r="B16" t="inlineStr" s="4">
        <is>
          <t>Input areas on the two log sheets</t>
        </is>
      </c>
      <c r="C16" s="4"/>
      <c r="D16" s="4"/>
      <c r="E16" s="4"/>
      <c r="F16" s="4"/>
      <c r="G16" s="4"/>
      <c r="H16" s="4"/>
      <c r="I16" s="4"/>
    </row>
    <row r="17" ht="21" customHeight="1">
      <c r="A17" t="inlineStr" s="4">
        <is>
          <t>Green cells</t>
        </is>
      </c>
      <c r="B17" t="inlineStr" s="4">
        <is>
          <t>Exact matches</t>
        </is>
      </c>
      <c r="C17" s="4"/>
      <c r="D17" s="4"/>
      <c r="E17" s="4"/>
      <c r="F17" s="4"/>
      <c r="G17" s="4"/>
      <c r="H17" s="4"/>
      <c r="I17" s="4"/>
    </row>
    <row r="18" ht="21" customHeight="1">
      <c r="A18" t="inlineStr" s="4">
        <is>
          <t>Red cells</t>
        </is>
      </c>
      <c r="B18" t="inlineStr" s="4">
        <is>
          <t>Mismatch or needs review</t>
        </is>
      </c>
      <c r="C18" s="4"/>
      <c r="D18" s="4"/>
      <c r="E18" s="4"/>
      <c r="F18" s="4"/>
      <c r="G18" s="4"/>
      <c r="H18" s="4"/>
      <c r="I18" s="4"/>
    </row>
    <row r="19" ht="21" customHeight="1">
      <c r="A19" t="inlineStr" s="4">
        <is>
          <t>Gray cards</t>
        </is>
      </c>
      <c r="B19" t="inlineStr" s="4">
        <is>
          <t>Summary / labels</t>
        </is>
      </c>
      <c r="C19" s="4"/>
      <c r="D19" s="4"/>
      <c r="E19" s="4"/>
      <c r="F19" s="4"/>
      <c r="G19" s="4"/>
      <c r="H19" s="4"/>
      <c r="I19" s="4"/>
    </row>
  </sheetData>
  <mergeCells count="5">
    <mergeCell ref="A1:I1"/>
    <mergeCell ref="A2:I2"/>
    <mergeCell ref="A4:I4"/>
    <mergeCell ref="A11:I11"/>
    <mergeCell ref="A15:I15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  <selection pane="bottomLeft" activeCell="A8" sqref="A8"/>
    </sheetView>
  </sheetViews>
  <cols>
    <col min="1" max="1" width="12" customWidth="1"/>
    <col min="2" max="2" width="10" customWidth="1"/>
    <col min="3" max="3" width="10" customWidth="1"/>
    <col min="4" max="4" width="12" customWidth="1"/>
    <col min="5" max="5" width="12" customWidth="1"/>
    <col min="6" max="6" width="14" customWidth="1"/>
    <col min="7" max="7" width="18" customWidth="1"/>
    <col min="8" max="8" width="16" customWidth="1"/>
    <col min="9" max="9" width="16" customWidth="1"/>
    <col min="10" max="10" width="14" customWidth="1"/>
    <col min="11" max="11" width="12" customWidth="1"/>
    <col min="12" max="12" width="22" customWidth="1"/>
  </cols>
  <sheetData>
    <row r="1" ht="24" customHeight="1">
      <c r="A1" t="inlineStr" s="1">
        <is>
          <t>Actual Game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>
      <c r="A2" t="inlineStr" s="4">
        <is>
          <t>Capture one event per row. Keep Event IDs aligned between both sheets.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2" customHeight="1">
      <c r="A3" t="inlineStr" s="3">
        <is>
          <t>Session</t>
        </is>
      </c>
      <c r="B3" s="4">
        <f>""</f>
      </c>
      <c r="D3" t="inlineStr" s="3">
        <is>
          <t>Rows entered</t>
        </is>
      </c>
      <c r="E3" s="4">
        <f>COUNTA(A8:A307)</f>
      </c>
      <c r="G3" t="inlineStr" s="3">
        <is>
          <t>Total runs</t>
        </is>
      </c>
      <c r="H3" s="4">
        <f>SUM(K8:K307)</f>
      </c>
      <c r="J3" t="inlineStr" s="3">
        <is>
          <t>Last Event ID</t>
        </is>
      </c>
      <c r="K3" s="4">
        <f>IFERROR(LOOKUP(2,1/(A8:A307&lt;&gt;""),A8:A307),"")</f>
      </c>
      <c r="L3" s="4"/>
    </row>
    <row r="5" ht="20" customHeight="1">
      <c r="A5" t="inlineStr" s="2">
        <is>
          <t>Actual game log</t>
        </is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7" ht="22" customHeight="1">
      <c r="A7" t="inlineStr" s="2">
        <is>
          <t>Event ID</t>
        </is>
      </c>
      <c r="B7" t="inlineStr" s="2">
        <is>
          <t>Inning</t>
        </is>
      </c>
      <c r="C7" t="inlineStr" s="2">
        <is>
          <t>Half</t>
        </is>
      </c>
      <c r="D7" t="inlineStr" s="2">
        <is>
          <t>Outs Before</t>
        </is>
      </c>
      <c r="E7" t="inlineStr" s="2">
        <is>
          <t>Count Before</t>
        </is>
      </c>
      <c r="F7" t="inlineStr" s="2">
        <is>
          <t>Event Type</t>
        </is>
      </c>
      <c r="G7" t="inlineStr" s="2">
        <is>
          <t>Pitch / Play Detail</t>
        </is>
      </c>
      <c r="H7" t="inlineStr" s="2">
        <is>
          <t>Zone / Location</t>
        </is>
      </c>
      <c r="I7" t="inlineStr" s="2">
        <is>
          <t>Call / Result</t>
        </is>
      </c>
      <c r="J7" t="inlineStr" s="2">
        <is>
          <t>Base State</t>
        </is>
      </c>
      <c r="K7" t="inlineStr" s="2">
        <is>
          <t>Runs This Event</t>
        </is>
      </c>
      <c r="L7" t="inlineStr" s="2">
        <is>
          <t>Notes</t>
        </is>
      </c>
    </row>
    <row r="8" ht="19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9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9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1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19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ht="19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9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19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19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19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19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9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ht="19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9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9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9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9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9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9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9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9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9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9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9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9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9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9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9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9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9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9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9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9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9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9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9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9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9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9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9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9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9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9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9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9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9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9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9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9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9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9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9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9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9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9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9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9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9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9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9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9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9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9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9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9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9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9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9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9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9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9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9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</sheetData>
  <autoFilter ref="A7:L307"/>
  <mergeCells count="3">
    <mergeCell ref="A1:L1"/>
    <mergeCell ref="A2:L2"/>
    <mergeCell ref="A5:L5"/>
  </mergeCells>
  <dataValidations count="3">
    <dataValidation type="list" allowBlank="1" showErrorMessage="1" sqref="C8:C307">
      <formula1>"Top,Bottom"</formula1>
    </dataValidation>
    <dataValidation type="list" allowBlank="1" showErrorMessage="1" sqref="F8:F307">
      <formula1>"Pitch,Ball in Play,Walk,Strikeout,Hit,Out,Run,Other"</formula1>
    </dataValidation>
    <dataValidation type="list" allowBlank="1" showErrorMessage="1" sqref="I8:I307">
      <formula1>"Ball,Called Strike,Swinging Strike,Foul,In Play,Out,Hit,Walk,Run,Error,Other"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  <selection pane="bottomLeft" activeCell="A8" sqref="A8"/>
    </sheetView>
  </sheetViews>
  <cols>
    <col min="1" max="1" width="12" customWidth="1"/>
    <col min="2" max="2" width="10" customWidth="1"/>
    <col min="3" max="3" width="10" customWidth="1"/>
    <col min="4" max="4" width="12" customWidth="1"/>
    <col min="5" max="5" width="12" customWidth="1"/>
    <col min="6" max="6" width="14" customWidth="1"/>
    <col min="7" max="7" width="18" customWidth="1"/>
    <col min="8" max="8" width="16" customWidth="1"/>
    <col min="9" max="9" width="16" customWidth="1"/>
    <col min="10" max="10" width="14" customWidth="1"/>
    <col min="11" max="11" width="12" customWidth="1"/>
    <col min="12" max="12" width="22" customWidth="1"/>
  </cols>
  <sheetData>
    <row r="1" ht="24" customHeight="1">
      <c r="A1" t="inlineStr" s="1">
        <is>
          <t>App Log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>
      <c r="A2" t="inlineStr" s="4">
        <is>
          <t>Capture one event per row. Keep Event IDs aligned between both sheets.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2" customHeight="1">
      <c r="A3" t="inlineStr" s="3">
        <is>
          <t>Session</t>
        </is>
      </c>
      <c r="B3" s="4">
        <f>""</f>
      </c>
      <c r="D3" t="inlineStr" s="3">
        <is>
          <t>Rows entered</t>
        </is>
      </c>
      <c r="E3" s="4">
        <f>COUNTA(A8:A307)</f>
      </c>
      <c r="G3" t="inlineStr" s="3">
        <is>
          <t>Total runs</t>
        </is>
      </c>
      <c r="H3" s="4">
        <f>SUM(K8:K307)</f>
      </c>
      <c r="J3" t="inlineStr" s="3">
        <is>
          <t>Last Event ID</t>
        </is>
      </c>
      <c r="K3" s="4">
        <f>IFERROR(LOOKUP(2,1/(A8:A307&lt;&gt;""),A8:A307),"")</f>
      </c>
      <c r="L3" s="4"/>
    </row>
    <row r="5" ht="20" customHeight="1">
      <c r="A5" t="inlineStr" s="2">
        <is>
          <t>App log</t>
        </is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7" ht="22" customHeight="1">
      <c r="A7" t="inlineStr" s="2">
        <is>
          <t>Event ID</t>
        </is>
      </c>
      <c r="B7" t="inlineStr" s="2">
        <is>
          <t>Inning</t>
        </is>
      </c>
      <c r="C7" t="inlineStr" s="2">
        <is>
          <t>Half</t>
        </is>
      </c>
      <c r="D7" t="inlineStr" s="2">
        <is>
          <t>Outs Before</t>
        </is>
      </c>
      <c r="E7" t="inlineStr" s="2">
        <is>
          <t>Count Before</t>
        </is>
      </c>
      <c r="F7" t="inlineStr" s="2">
        <is>
          <t>Event Type</t>
        </is>
      </c>
      <c r="G7" t="inlineStr" s="2">
        <is>
          <t>Pitch / Play Detail</t>
        </is>
      </c>
      <c r="H7" t="inlineStr" s="2">
        <is>
          <t>Zone / Location</t>
        </is>
      </c>
      <c r="I7" t="inlineStr" s="2">
        <is>
          <t>Call / Result</t>
        </is>
      </c>
      <c r="J7" t="inlineStr" s="2">
        <is>
          <t>Base State</t>
        </is>
      </c>
      <c r="K7" t="inlineStr" s="2">
        <is>
          <t>Runs This Event</t>
        </is>
      </c>
      <c r="L7" t="inlineStr" s="2">
        <is>
          <t>Notes</t>
        </is>
      </c>
    </row>
    <row r="8" ht="19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9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9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1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19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ht="19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9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19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19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19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19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9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ht="19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9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9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9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9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9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9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9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9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9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9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9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9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9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9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9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9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9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9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9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9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9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9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9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9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9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9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9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9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9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9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9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9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9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9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9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9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9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9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9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9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9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9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9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9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9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9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9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9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9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9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9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9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9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9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9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9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9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9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9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</sheetData>
  <autoFilter ref="A7:L307"/>
  <mergeCells count="3">
    <mergeCell ref="A1:L1"/>
    <mergeCell ref="A2:L2"/>
    <mergeCell ref="A5:L5"/>
  </mergeCells>
  <dataValidations count="3">
    <dataValidation type="list" allowBlank="1" showErrorMessage="1" sqref="C8:C307">
      <formula1>"Top,Bottom"</formula1>
    </dataValidation>
    <dataValidation type="list" allowBlank="1" showErrorMessage="1" sqref="F8:F307">
      <formula1>"Pitch,Ball in Play,Walk,Strikeout,Hit,Out,Run,Other"</formula1>
    </dataValidation>
    <dataValidation type="list" allowBlank="1" showErrorMessage="1" sqref="I8:I307">
      <formula1>"Ball,Called Strike,Swinging Strike,Foul,In Play,Out,Hit,Walk,Run,Error,Other"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  <selection pane="bottomLeft" activeCell="A8" sqref="A8"/>
    </sheetView>
  </sheetViews>
  <cols>
    <col min="1" max="1" width="12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  <col min="28" max="28" width="11" customWidth="1"/>
    <col min="29" max="29" width="11" customWidth="1"/>
  </cols>
  <sheetData>
    <row r="1" ht="24" customHeight="1">
      <c r="A1" t="inlineStr" s="1">
        <is>
          <t>Reconciliation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2" customHeight="1">
      <c r="A2" t="inlineStr" s="4">
        <is>
          <t>Compare what the TV companion entered against what the app recorded. MATCH means the row agrees; CHECK means investigate.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" customHeight="1">
      <c r="A3" t="inlineStr" s="3">
        <is>
          <t>Rows compared</t>
        </is>
      </c>
      <c r="B3" s="4">
        <f>COUNTIF('Actual Game'!A8:A307,"&lt;&gt;")</f>
      </c>
      <c r="D3" t="inlineStr" s="3">
        <is>
          <t>Rows needing review</t>
        </is>
      </c>
      <c r="E3" s="7">
        <f>COUNTIF(AC8:AC307,"CHECK")</f>
      </c>
      <c r="G3" t="inlineStr" s="3">
        <is>
          <t>Perfect rows</t>
        </is>
      </c>
      <c r="H3" s="6">
        <f>COUNTIF(AC8:AC307,"MATCH")</f>
      </c>
      <c r="J3" t="inlineStr" s="3">
        <is>
          <t>Match rate</t>
        </is>
      </c>
      <c r="K3" s="4">
        <f>IF(B3=0,"",H3/B3)</f>
      </c>
      <c r="M3" t="inlineStr" s="3">
        <is>
          <t>Mismatched fields</t>
        </is>
      </c>
      <c r="N3" s="7">
        <f>COUNTIF(D8:D307,"DIFF")+COUNTIF(G8:G307,"DIFF")+COUNTIF(J8:J307,"DIFF")+COUNTIF(M8:M307,"DIFF")+COUNTIF(P8:P307,"DIFF")+COUNTIF(S8:S307,"DIFF")+COUNTIF(V8:V307,"DIFF")+COUNTIF(Y8:Y307,"DIFF")+COUNTIF(AB8:AB307,"DIFF")</f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5" ht="20" customHeight="1">
      <c r="A5" t="inlineStr" s="2">
        <is>
          <t>Keep Event IDs aligned on both input sheets. If one side misses a row, insert the same Event ID so the review path stays obvious.</t>
        </is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7" ht="28" customHeight="1">
      <c r="A7" t="inlineStr" s="2">
        <is>
          <t>Event ID</t>
        </is>
      </c>
      <c r="B7" t="inlineStr" s="2">
        <is>
          <t>Inning Obs</t>
        </is>
      </c>
      <c r="C7" t="inlineStr" s="2">
        <is>
          <t>Inning App</t>
        </is>
      </c>
      <c r="D7" t="inlineStr" s="2">
        <is>
          <t>Inning Match</t>
        </is>
      </c>
      <c r="E7" t="inlineStr" s="2">
        <is>
          <t>Half Obs</t>
        </is>
      </c>
      <c r="F7" t="inlineStr" s="2">
        <is>
          <t>Half App</t>
        </is>
      </c>
      <c r="G7" t="inlineStr" s="2">
        <is>
          <t>Half Match</t>
        </is>
      </c>
      <c r="H7" t="inlineStr" s="2">
        <is>
          <t>Outs Obs</t>
        </is>
      </c>
      <c r="I7" t="inlineStr" s="2">
        <is>
          <t>Outs App</t>
        </is>
      </c>
      <c r="J7" t="inlineStr" s="2">
        <is>
          <t>Outs Match</t>
        </is>
      </c>
      <c r="K7" t="inlineStr" s="2">
        <is>
          <t>Count Obs</t>
        </is>
      </c>
      <c r="L7" t="inlineStr" s="2">
        <is>
          <t>Count App</t>
        </is>
      </c>
      <c r="M7" t="inlineStr" s="2">
        <is>
          <t>Count Match</t>
        </is>
      </c>
      <c r="N7" t="inlineStr" s="2">
        <is>
          <t>Event Obs</t>
        </is>
      </c>
      <c r="O7" t="inlineStr" s="2">
        <is>
          <t>Event App</t>
        </is>
      </c>
      <c r="P7" t="inlineStr" s="2">
        <is>
          <t>Event Match</t>
        </is>
      </c>
      <c r="Q7" t="inlineStr" s="2">
        <is>
          <t>Call Obs</t>
        </is>
      </c>
      <c r="R7" t="inlineStr" s="2">
        <is>
          <t>Call App</t>
        </is>
      </c>
      <c r="S7" t="inlineStr" s="2">
        <is>
          <t>Call Match</t>
        </is>
      </c>
      <c r="T7" t="inlineStr" s="2">
        <is>
          <t>Zone Obs</t>
        </is>
      </c>
      <c r="U7" t="inlineStr" s="2">
        <is>
          <t>Zone App</t>
        </is>
      </c>
      <c r="V7" t="inlineStr" s="2">
        <is>
          <t>Zone Match</t>
        </is>
      </c>
      <c r="W7" t="inlineStr" s="2">
        <is>
          <t>Base Obs</t>
        </is>
      </c>
      <c r="X7" t="inlineStr" s="2">
        <is>
          <t>Base App</t>
        </is>
      </c>
      <c r="Y7" t="inlineStr" s="2">
        <is>
          <t>Base Match</t>
        </is>
      </c>
      <c r="Z7" t="inlineStr" s="2">
        <is>
          <t>Runs Obs</t>
        </is>
      </c>
      <c r="AA7" t="inlineStr" s="2">
        <is>
          <t>Runs App</t>
        </is>
      </c>
      <c r="AB7" t="inlineStr" s="2">
        <is>
          <t>Runs Match</t>
        </is>
      </c>
      <c r="AC7" t="inlineStr" s="2">
        <is>
          <t>Overall Status</t>
        </is>
      </c>
    </row>
    <row r="8" ht="19" customHeight="1">
      <c r="A8" s="5"/>
      <c r="B8" s="5">
        <f>IF('Actual Game'!B8="","",'Actual Game'!B8)</f>
      </c>
      <c r="C8" s="5">
        <f>IF('App Log'!B8="","",'App Log'!B8)</f>
      </c>
      <c r="D8" s="5">
        <f>IF(AND('Actual Game'!B8="",'App Log'!B8=""),"",IF(TRIM('Actual Game'!B8&amp;"")=TRIM('App Log'!B8&amp;""),"MATCH","DIFF"))</f>
      </c>
      <c r="E8" s="5">
        <f>IF('Actual Game'!C8="","",'Actual Game'!C8)</f>
      </c>
      <c r="F8" s="5">
        <f>IF('App Log'!C8="","",'App Log'!C8)</f>
      </c>
      <c r="G8" s="5">
        <f>IF(AND('Actual Game'!C8="",'App Log'!C8=""),"",IF(TRIM('Actual Game'!C8&amp;"")=TRIM('App Log'!C8&amp;""),"MATCH","DIFF"))</f>
      </c>
      <c r="H8" s="5">
        <f>IF('Actual Game'!D8="","",'Actual Game'!D8)</f>
      </c>
      <c r="I8" s="5">
        <f>IF('App Log'!D8="","",'App Log'!D8)</f>
      </c>
      <c r="J8" s="5">
        <f>IF(AND('Actual Game'!D8="",'App Log'!D8=""),"",IF(TRIM('Actual Game'!D8&amp;"")=TRIM('App Log'!D8&amp;""),"MATCH","DIFF"))</f>
      </c>
      <c r="K8" s="5">
        <f>IF('Actual Game'!E8="","",'Actual Game'!E8)</f>
      </c>
      <c r="L8" s="5">
        <f>IF('App Log'!E8="","",'App Log'!E8)</f>
      </c>
      <c r="M8" s="5">
        <f>IF(AND('Actual Game'!E8="",'App Log'!E8=""),"",IF(TRIM('Actual Game'!E8&amp;"")=TRIM('App Log'!E8&amp;""),"MATCH","DIFF"))</f>
      </c>
      <c r="N8" s="5">
        <f>IF('Actual Game'!F8="","",'Actual Game'!F8)</f>
      </c>
      <c r="O8" s="5">
        <f>IF('App Log'!F8="","",'App Log'!F8)</f>
      </c>
      <c r="P8" s="5">
        <f>IF(AND('Actual Game'!F8="",'App Log'!F8=""),"",IF(TRIM('Actual Game'!F8&amp;"")=TRIM('App Log'!F8&amp;""),"MATCH","DIFF"))</f>
      </c>
      <c r="Q8" s="5">
        <f>IF('Actual Game'!I8="","",'Actual Game'!I8)</f>
      </c>
      <c r="R8" s="5">
        <f>IF('App Log'!I8="","",'App Log'!I8)</f>
      </c>
      <c r="S8" s="5">
        <f>IF(AND('Actual Game'!I8="",'App Log'!I8=""),"",IF(TRIM('Actual Game'!I8&amp;"")=TRIM('App Log'!I8&amp;""),"MATCH","DIFF"))</f>
      </c>
      <c r="T8" s="5">
        <f>IF('Actual Game'!H8="","",'Actual Game'!H8)</f>
      </c>
      <c r="U8" s="5">
        <f>IF('App Log'!H8="","",'App Log'!H8)</f>
      </c>
      <c r="V8" s="5">
        <f>IF(AND('Actual Game'!H8="",'App Log'!H8=""),"",IF(TRIM('Actual Game'!H8&amp;"")=TRIM('App Log'!H8&amp;""),"MATCH","DIFF"))</f>
      </c>
      <c r="W8" s="5">
        <f>IF('Actual Game'!J8="","",'Actual Game'!J8)</f>
      </c>
      <c r="X8" s="5">
        <f>IF('App Log'!J8="","",'App Log'!J8)</f>
      </c>
      <c r="Y8" s="5">
        <f>IF(AND('Actual Game'!J8="",'App Log'!J8=""),"",IF(TRIM('Actual Game'!J8&amp;"")=TRIM('App Log'!J8&amp;""),"MATCH","DIFF"))</f>
      </c>
      <c r="Z8" s="5">
        <f>IF('Actual Game'!K8="","",'Actual Game'!K8)</f>
      </c>
      <c r="AA8" s="5">
        <f>IF('App Log'!K8="","",'App Log'!K8)</f>
      </c>
      <c r="AB8" s="5">
        <f>IF(AND('Actual Game'!K8="",'App Log'!K8=""),"",IF(TRIM('Actual Game'!K8&amp;"")=TRIM('App Log'!K8&amp;""),"MATCH","DIFF"))</f>
      </c>
      <c r="AC8" s="5">
        <f>IF(AND('Actual Game'!A8="",'App Log'!A8=""),"",IF(COUNTIF(D8:AB8,"DIFF")=0,"MATCH","CHECK"))</f>
      </c>
    </row>
    <row r="9" ht="19" customHeight="1">
      <c r="A9" s="5"/>
      <c r="B9" s="5">
        <f>IF('Actual Game'!B9="","",'Actual Game'!B9)</f>
      </c>
      <c r="C9" s="5">
        <f>IF('App Log'!B9="","",'App Log'!B9)</f>
      </c>
      <c r="D9" s="5">
        <f>IF(AND('Actual Game'!B9="",'App Log'!B9=""),"",IF(TRIM('Actual Game'!B9&amp;"")=TRIM('App Log'!B9&amp;""),"MATCH","DIFF"))</f>
      </c>
      <c r="E9" s="5">
        <f>IF('Actual Game'!C9="","",'Actual Game'!C9)</f>
      </c>
      <c r="F9" s="5">
        <f>IF('App Log'!C9="","",'App Log'!C9)</f>
      </c>
      <c r="G9" s="5">
        <f>IF(AND('Actual Game'!C9="",'App Log'!C9=""),"",IF(TRIM('Actual Game'!C9&amp;"")=TRIM('App Log'!C9&amp;""),"MATCH","DIFF"))</f>
      </c>
      <c r="H9" s="5">
        <f>IF('Actual Game'!D9="","",'Actual Game'!D9)</f>
      </c>
      <c r="I9" s="5">
        <f>IF('App Log'!D9="","",'App Log'!D9)</f>
      </c>
      <c r="J9" s="5">
        <f>IF(AND('Actual Game'!D9="",'App Log'!D9=""),"",IF(TRIM('Actual Game'!D9&amp;"")=TRIM('App Log'!D9&amp;""),"MATCH","DIFF"))</f>
      </c>
      <c r="K9" s="5">
        <f>IF('Actual Game'!E9="","",'Actual Game'!E9)</f>
      </c>
      <c r="L9" s="5">
        <f>IF('App Log'!E9="","",'App Log'!E9)</f>
      </c>
      <c r="M9" s="5">
        <f>IF(AND('Actual Game'!E9="",'App Log'!E9=""),"",IF(TRIM('Actual Game'!E9&amp;"")=TRIM('App Log'!E9&amp;""),"MATCH","DIFF"))</f>
      </c>
      <c r="N9" s="5">
        <f>IF('Actual Game'!F9="","",'Actual Game'!F9)</f>
      </c>
      <c r="O9" s="5">
        <f>IF('App Log'!F9="","",'App Log'!F9)</f>
      </c>
      <c r="P9" s="5">
        <f>IF(AND('Actual Game'!F9="",'App Log'!F9=""),"",IF(TRIM('Actual Game'!F9&amp;"")=TRIM('App Log'!F9&amp;""),"MATCH","DIFF"))</f>
      </c>
      <c r="Q9" s="5">
        <f>IF('Actual Game'!I9="","",'Actual Game'!I9)</f>
      </c>
      <c r="R9" s="5">
        <f>IF('App Log'!I9="","",'App Log'!I9)</f>
      </c>
      <c r="S9" s="5">
        <f>IF(AND('Actual Game'!I9="",'App Log'!I9=""),"",IF(TRIM('Actual Game'!I9&amp;"")=TRIM('App Log'!I9&amp;""),"MATCH","DIFF"))</f>
      </c>
      <c r="T9" s="5">
        <f>IF('Actual Game'!H9="","",'Actual Game'!H9)</f>
      </c>
      <c r="U9" s="5">
        <f>IF('App Log'!H9="","",'App Log'!H9)</f>
      </c>
      <c r="V9" s="5">
        <f>IF(AND('Actual Game'!H9="",'App Log'!H9=""),"",IF(TRIM('Actual Game'!H9&amp;"")=TRIM('App Log'!H9&amp;""),"MATCH","DIFF"))</f>
      </c>
      <c r="W9" s="5">
        <f>IF('Actual Game'!J9="","",'Actual Game'!J9)</f>
      </c>
      <c r="X9" s="5">
        <f>IF('App Log'!J9="","",'App Log'!J9)</f>
      </c>
      <c r="Y9" s="5">
        <f>IF(AND('Actual Game'!J9="",'App Log'!J9=""),"",IF(TRIM('Actual Game'!J9&amp;"")=TRIM('App Log'!J9&amp;""),"MATCH","DIFF"))</f>
      </c>
      <c r="Z9" s="5">
        <f>IF('Actual Game'!K9="","",'Actual Game'!K9)</f>
      </c>
      <c r="AA9" s="5">
        <f>IF('App Log'!K9="","",'App Log'!K9)</f>
      </c>
      <c r="AB9" s="5">
        <f>IF(AND('Actual Game'!K9="",'App Log'!K9=""),"",IF(TRIM('Actual Game'!K9&amp;"")=TRIM('App Log'!K9&amp;""),"MATCH","DIFF"))</f>
      </c>
      <c r="AC9" s="5">
        <f>IF(AND('Actual Game'!A9="",'App Log'!A9=""),"",IF(COUNTIF(D9:AB9,"DIFF")=0,"MATCH","CHECK"))</f>
      </c>
    </row>
    <row r="10" ht="19" customHeight="1">
      <c r="A10" s="5"/>
      <c r="B10" s="5">
        <f>IF('Actual Game'!B10="","",'Actual Game'!B10)</f>
      </c>
      <c r="C10" s="5">
        <f>IF('App Log'!B10="","",'App Log'!B10)</f>
      </c>
      <c r="D10" s="5">
        <f>IF(AND('Actual Game'!B10="",'App Log'!B10=""),"",IF(TRIM('Actual Game'!B10&amp;"")=TRIM('App Log'!B10&amp;""),"MATCH","DIFF"))</f>
      </c>
      <c r="E10" s="5">
        <f>IF('Actual Game'!C10="","",'Actual Game'!C10)</f>
      </c>
      <c r="F10" s="5">
        <f>IF('App Log'!C10="","",'App Log'!C10)</f>
      </c>
      <c r="G10" s="5">
        <f>IF(AND('Actual Game'!C10="",'App Log'!C10=""),"",IF(TRIM('Actual Game'!C10&amp;"")=TRIM('App Log'!C10&amp;""),"MATCH","DIFF"))</f>
      </c>
      <c r="H10" s="5">
        <f>IF('Actual Game'!D10="","",'Actual Game'!D10)</f>
      </c>
      <c r="I10" s="5">
        <f>IF('App Log'!D10="","",'App Log'!D10)</f>
      </c>
      <c r="J10" s="5">
        <f>IF(AND('Actual Game'!D10="",'App Log'!D10=""),"",IF(TRIM('Actual Game'!D10&amp;"")=TRIM('App Log'!D10&amp;""),"MATCH","DIFF"))</f>
      </c>
      <c r="K10" s="5">
        <f>IF('Actual Game'!E10="","",'Actual Game'!E10)</f>
      </c>
      <c r="L10" s="5">
        <f>IF('App Log'!E10="","",'App Log'!E10)</f>
      </c>
      <c r="M10" s="5">
        <f>IF(AND('Actual Game'!E10="",'App Log'!E10=""),"",IF(TRIM('Actual Game'!E10&amp;"")=TRIM('App Log'!E10&amp;""),"MATCH","DIFF"))</f>
      </c>
      <c r="N10" s="5">
        <f>IF('Actual Game'!F10="","",'Actual Game'!F10)</f>
      </c>
      <c r="O10" s="5">
        <f>IF('App Log'!F10="","",'App Log'!F10)</f>
      </c>
      <c r="P10" s="5">
        <f>IF(AND('Actual Game'!F10="",'App Log'!F10=""),"",IF(TRIM('Actual Game'!F10&amp;"")=TRIM('App Log'!F10&amp;""),"MATCH","DIFF"))</f>
      </c>
      <c r="Q10" s="5">
        <f>IF('Actual Game'!I10="","",'Actual Game'!I10)</f>
      </c>
      <c r="R10" s="5">
        <f>IF('App Log'!I10="","",'App Log'!I10)</f>
      </c>
      <c r="S10" s="5">
        <f>IF(AND('Actual Game'!I10="",'App Log'!I10=""),"",IF(TRIM('Actual Game'!I10&amp;"")=TRIM('App Log'!I10&amp;""),"MATCH","DIFF"))</f>
      </c>
      <c r="T10" s="5">
        <f>IF('Actual Game'!H10="","",'Actual Game'!H10)</f>
      </c>
      <c r="U10" s="5">
        <f>IF('App Log'!H10="","",'App Log'!H10)</f>
      </c>
      <c r="V10" s="5">
        <f>IF(AND('Actual Game'!H10="",'App Log'!H10=""),"",IF(TRIM('Actual Game'!H10&amp;"")=TRIM('App Log'!H10&amp;""),"MATCH","DIFF"))</f>
      </c>
      <c r="W10" s="5">
        <f>IF('Actual Game'!J10="","",'Actual Game'!J10)</f>
      </c>
      <c r="X10" s="5">
        <f>IF('App Log'!J10="","",'App Log'!J10)</f>
      </c>
      <c r="Y10" s="5">
        <f>IF(AND('Actual Game'!J10="",'App Log'!J10=""),"",IF(TRIM('Actual Game'!J10&amp;"")=TRIM('App Log'!J10&amp;""),"MATCH","DIFF"))</f>
      </c>
      <c r="Z10" s="5">
        <f>IF('Actual Game'!K10="","",'Actual Game'!K10)</f>
      </c>
      <c r="AA10" s="5">
        <f>IF('App Log'!K10="","",'App Log'!K10)</f>
      </c>
      <c r="AB10" s="5">
        <f>IF(AND('Actual Game'!K10="",'App Log'!K10=""),"",IF(TRIM('Actual Game'!K10&amp;"")=TRIM('App Log'!K10&amp;""),"MATCH","DIFF"))</f>
      </c>
      <c r="AC10" s="5">
        <f>IF(AND('Actual Game'!A10="",'App Log'!A10=""),"",IF(COUNTIF(D10:AB10,"DIFF")=0,"MATCH","CHECK"))</f>
      </c>
    </row>
    <row r="11" ht="19" customHeight="1">
      <c r="A11" s="5"/>
      <c r="B11" s="5">
        <f>IF('Actual Game'!B11="","",'Actual Game'!B11)</f>
      </c>
      <c r="C11" s="5">
        <f>IF('App Log'!B11="","",'App Log'!B11)</f>
      </c>
      <c r="D11" s="5">
        <f>IF(AND('Actual Game'!B11="",'App Log'!B11=""),"",IF(TRIM('Actual Game'!B11&amp;"")=TRIM('App Log'!B11&amp;""),"MATCH","DIFF"))</f>
      </c>
      <c r="E11" s="5">
        <f>IF('Actual Game'!C11="","",'Actual Game'!C11)</f>
      </c>
      <c r="F11" s="5">
        <f>IF('App Log'!C11="","",'App Log'!C11)</f>
      </c>
      <c r="G11" s="5">
        <f>IF(AND('Actual Game'!C11="",'App Log'!C11=""),"",IF(TRIM('Actual Game'!C11&amp;"")=TRIM('App Log'!C11&amp;""),"MATCH","DIFF"))</f>
      </c>
      <c r="H11" s="5">
        <f>IF('Actual Game'!D11="","",'Actual Game'!D11)</f>
      </c>
      <c r="I11" s="5">
        <f>IF('App Log'!D11="","",'App Log'!D11)</f>
      </c>
      <c r="J11" s="5">
        <f>IF(AND('Actual Game'!D11="",'App Log'!D11=""),"",IF(TRIM('Actual Game'!D11&amp;"")=TRIM('App Log'!D11&amp;""),"MATCH","DIFF"))</f>
      </c>
      <c r="K11" s="5">
        <f>IF('Actual Game'!E11="","",'Actual Game'!E11)</f>
      </c>
      <c r="L11" s="5">
        <f>IF('App Log'!E11="","",'App Log'!E11)</f>
      </c>
      <c r="M11" s="5">
        <f>IF(AND('Actual Game'!E11="",'App Log'!E11=""),"",IF(TRIM('Actual Game'!E11&amp;"")=TRIM('App Log'!E11&amp;""),"MATCH","DIFF"))</f>
      </c>
      <c r="N11" s="5">
        <f>IF('Actual Game'!F11="","",'Actual Game'!F11)</f>
      </c>
      <c r="O11" s="5">
        <f>IF('App Log'!F11="","",'App Log'!F11)</f>
      </c>
      <c r="P11" s="5">
        <f>IF(AND('Actual Game'!F11="",'App Log'!F11=""),"",IF(TRIM('Actual Game'!F11&amp;"")=TRIM('App Log'!F11&amp;""),"MATCH","DIFF"))</f>
      </c>
      <c r="Q11" s="5">
        <f>IF('Actual Game'!I11="","",'Actual Game'!I11)</f>
      </c>
      <c r="R11" s="5">
        <f>IF('App Log'!I11="","",'App Log'!I11)</f>
      </c>
      <c r="S11" s="5">
        <f>IF(AND('Actual Game'!I11="",'App Log'!I11=""),"",IF(TRIM('Actual Game'!I11&amp;"")=TRIM('App Log'!I11&amp;""),"MATCH","DIFF"))</f>
      </c>
      <c r="T11" s="5">
        <f>IF('Actual Game'!H11="","",'Actual Game'!H11)</f>
      </c>
      <c r="U11" s="5">
        <f>IF('App Log'!H11="","",'App Log'!H11)</f>
      </c>
      <c r="V11" s="5">
        <f>IF(AND('Actual Game'!H11="",'App Log'!H11=""),"",IF(TRIM('Actual Game'!H11&amp;"")=TRIM('App Log'!H11&amp;""),"MATCH","DIFF"))</f>
      </c>
      <c r="W11" s="5">
        <f>IF('Actual Game'!J11="","",'Actual Game'!J11)</f>
      </c>
      <c r="X11" s="5">
        <f>IF('App Log'!J11="","",'App Log'!J11)</f>
      </c>
      <c r="Y11" s="5">
        <f>IF(AND('Actual Game'!J11="",'App Log'!J11=""),"",IF(TRIM('Actual Game'!J11&amp;"")=TRIM('App Log'!J11&amp;""),"MATCH","DIFF"))</f>
      </c>
      <c r="Z11" s="5">
        <f>IF('Actual Game'!K11="","",'Actual Game'!K11)</f>
      </c>
      <c r="AA11" s="5">
        <f>IF('App Log'!K11="","",'App Log'!K11)</f>
      </c>
      <c r="AB11" s="5">
        <f>IF(AND('Actual Game'!K11="",'App Log'!K11=""),"",IF(TRIM('Actual Game'!K11&amp;"")=TRIM('App Log'!K11&amp;""),"MATCH","DIFF"))</f>
      </c>
      <c r="AC11" s="5">
        <f>IF(AND('Actual Game'!A11="",'App Log'!A11=""),"",IF(COUNTIF(D11:AB11,"DIFF")=0,"MATCH","CHECK"))</f>
      </c>
    </row>
    <row r="12" ht="19" customHeight="1">
      <c r="A12" s="5"/>
      <c r="B12" s="5">
        <f>IF('Actual Game'!B12="","",'Actual Game'!B12)</f>
      </c>
      <c r="C12" s="5">
        <f>IF('App Log'!B12="","",'App Log'!B12)</f>
      </c>
      <c r="D12" s="5">
        <f>IF(AND('Actual Game'!B12="",'App Log'!B12=""),"",IF(TRIM('Actual Game'!B12&amp;"")=TRIM('App Log'!B12&amp;""),"MATCH","DIFF"))</f>
      </c>
      <c r="E12" s="5">
        <f>IF('Actual Game'!C12="","",'Actual Game'!C12)</f>
      </c>
      <c r="F12" s="5">
        <f>IF('App Log'!C12="","",'App Log'!C12)</f>
      </c>
      <c r="G12" s="5">
        <f>IF(AND('Actual Game'!C12="",'App Log'!C12=""),"",IF(TRIM('Actual Game'!C12&amp;"")=TRIM('App Log'!C12&amp;""),"MATCH","DIFF"))</f>
      </c>
      <c r="H12" s="5">
        <f>IF('Actual Game'!D12="","",'Actual Game'!D12)</f>
      </c>
      <c r="I12" s="5">
        <f>IF('App Log'!D12="","",'App Log'!D12)</f>
      </c>
      <c r="J12" s="5">
        <f>IF(AND('Actual Game'!D12="",'App Log'!D12=""),"",IF(TRIM('Actual Game'!D12&amp;"")=TRIM('App Log'!D12&amp;""),"MATCH","DIFF"))</f>
      </c>
      <c r="K12" s="5">
        <f>IF('Actual Game'!E12="","",'Actual Game'!E12)</f>
      </c>
      <c r="L12" s="5">
        <f>IF('App Log'!E12="","",'App Log'!E12)</f>
      </c>
      <c r="M12" s="5">
        <f>IF(AND('Actual Game'!E12="",'App Log'!E12=""),"",IF(TRIM('Actual Game'!E12&amp;"")=TRIM('App Log'!E12&amp;""),"MATCH","DIFF"))</f>
      </c>
      <c r="N12" s="5">
        <f>IF('Actual Game'!F12="","",'Actual Game'!F12)</f>
      </c>
      <c r="O12" s="5">
        <f>IF('App Log'!F12="","",'App Log'!F12)</f>
      </c>
      <c r="P12" s="5">
        <f>IF(AND('Actual Game'!F12="",'App Log'!F12=""),"",IF(TRIM('Actual Game'!F12&amp;"")=TRIM('App Log'!F12&amp;""),"MATCH","DIFF"))</f>
      </c>
      <c r="Q12" s="5">
        <f>IF('Actual Game'!I12="","",'Actual Game'!I12)</f>
      </c>
      <c r="R12" s="5">
        <f>IF('App Log'!I12="","",'App Log'!I12)</f>
      </c>
      <c r="S12" s="5">
        <f>IF(AND('Actual Game'!I12="",'App Log'!I12=""),"",IF(TRIM('Actual Game'!I12&amp;"")=TRIM('App Log'!I12&amp;""),"MATCH","DIFF"))</f>
      </c>
      <c r="T12" s="5">
        <f>IF('Actual Game'!H12="","",'Actual Game'!H12)</f>
      </c>
      <c r="U12" s="5">
        <f>IF('App Log'!H12="","",'App Log'!H12)</f>
      </c>
      <c r="V12" s="5">
        <f>IF(AND('Actual Game'!H12="",'App Log'!H12=""),"",IF(TRIM('Actual Game'!H12&amp;"")=TRIM('App Log'!H12&amp;""),"MATCH","DIFF"))</f>
      </c>
      <c r="W12" s="5">
        <f>IF('Actual Game'!J12="","",'Actual Game'!J12)</f>
      </c>
      <c r="X12" s="5">
        <f>IF('App Log'!J12="","",'App Log'!J12)</f>
      </c>
      <c r="Y12" s="5">
        <f>IF(AND('Actual Game'!J12="",'App Log'!J12=""),"",IF(TRIM('Actual Game'!J12&amp;"")=TRIM('App Log'!J12&amp;""),"MATCH","DIFF"))</f>
      </c>
      <c r="Z12" s="5">
        <f>IF('Actual Game'!K12="","",'Actual Game'!K12)</f>
      </c>
      <c r="AA12" s="5">
        <f>IF('App Log'!K12="","",'App Log'!K12)</f>
      </c>
      <c r="AB12" s="5">
        <f>IF(AND('Actual Game'!K12="",'App Log'!K12=""),"",IF(TRIM('Actual Game'!K12&amp;"")=TRIM('App Log'!K12&amp;""),"MATCH","DIFF"))</f>
      </c>
      <c r="AC12" s="5">
        <f>IF(AND('Actual Game'!A12="",'App Log'!A12=""),"",IF(COUNTIF(D12:AB12,"DIFF")=0,"MATCH","CHECK"))</f>
      </c>
    </row>
    <row r="13" ht="19" customHeight="1">
      <c r="A13" s="5"/>
      <c r="B13" s="5">
        <f>IF('Actual Game'!B13="","",'Actual Game'!B13)</f>
      </c>
      <c r="C13" s="5">
        <f>IF('App Log'!B13="","",'App Log'!B13)</f>
      </c>
      <c r="D13" s="5">
        <f>IF(AND('Actual Game'!B13="",'App Log'!B13=""),"",IF(TRIM('Actual Game'!B13&amp;"")=TRIM('App Log'!B13&amp;""),"MATCH","DIFF"))</f>
      </c>
      <c r="E13" s="5">
        <f>IF('Actual Game'!C13="","",'Actual Game'!C13)</f>
      </c>
      <c r="F13" s="5">
        <f>IF('App Log'!C13="","",'App Log'!C13)</f>
      </c>
      <c r="G13" s="5">
        <f>IF(AND('Actual Game'!C13="",'App Log'!C13=""),"",IF(TRIM('Actual Game'!C13&amp;"")=TRIM('App Log'!C13&amp;""),"MATCH","DIFF"))</f>
      </c>
      <c r="H13" s="5">
        <f>IF('Actual Game'!D13="","",'Actual Game'!D13)</f>
      </c>
      <c r="I13" s="5">
        <f>IF('App Log'!D13="","",'App Log'!D13)</f>
      </c>
      <c r="J13" s="5">
        <f>IF(AND('Actual Game'!D13="",'App Log'!D13=""),"",IF(TRIM('Actual Game'!D13&amp;"")=TRIM('App Log'!D13&amp;""),"MATCH","DIFF"))</f>
      </c>
      <c r="K13" s="5">
        <f>IF('Actual Game'!E13="","",'Actual Game'!E13)</f>
      </c>
      <c r="L13" s="5">
        <f>IF('App Log'!E13="","",'App Log'!E13)</f>
      </c>
      <c r="M13" s="5">
        <f>IF(AND('Actual Game'!E13="",'App Log'!E13=""),"",IF(TRIM('Actual Game'!E13&amp;"")=TRIM('App Log'!E13&amp;""),"MATCH","DIFF"))</f>
      </c>
      <c r="N13" s="5">
        <f>IF('Actual Game'!F13="","",'Actual Game'!F13)</f>
      </c>
      <c r="O13" s="5">
        <f>IF('App Log'!F13="","",'App Log'!F13)</f>
      </c>
      <c r="P13" s="5">
        <f>IF(AND('Actual Game'!F13="",'App Log'!F13=""),"",IF(TRIM('Actual Game'!F13&amp;"")=TRIM('App Log'!F13&amp;""),"MATCH","DIFF"))</f>
      </c>
      <c r="Q13" s="5">
        <f>IF('Actual Game'!I13="","",'Actual Game'!I13)</f>
      </c>
      <c r="R13" s="5">
        <f>IF('App Log'!I13="","",'App Log'!I13)</f>
      </c>
      <c r="S13" s="5">
        <f>IF(AND('Actual Game'!I13="",'App Log'!I13=""),"",IF(TRIM('Actual Game'!I13&amp;"")=TRIM('App Log'!I13&amp;""),"MATCH","DIFF"))</f>
      </c>
      <c r="T13" s="5">
        <f>IF('Actual Game'!H13="","",'Actual Game'!H13)</f>
      </c>
      <c r="U13" s="5">
        <f>IF('App Log'!H13="","",'App Log'!H13)</f>
      </c>
      <c r="V13" s="5">
        <f>IF(AND('Actual Game'!H13="",'App Log'!H13=""),"",IF(TRIM('Actual Game'!H13&amp;"")=TRIM('App Log'!H13&amp;""),"MATCH","DIFF"))</f>
      </c>
      <c r="W13" s="5">
        <f>IF('Actual Game'!J13="","",'Actual Game'!J13)</f>
      </c>
      <c r="X13" s="5">
        <f>IF('App Log'!J13="","",'App Log'!J13)</f>
      </c>
      <c r="Y13" s="5">
        <f>IF(AND('Actual Game'!J13="",'App Log'!J13=""),"",IF(TRIM('Actual Game'!J13&amp;"")=TRIM('App Log'!J13&amp;""),"MATCH","DIFF"))</f>
      </c>
      <c r="Z13" s="5">
        <f>IF('Actual Game'!K13="","",'Actual Game'!K13)</f>
      </c>
      <c r="AA13" s="5">
        <f>IF('App Log'!K13="","",'App Log'!K13)</f>
      </c>
      <c r="AB13" s="5">
        <f>IF(AND('Actual Game'!K13="",'App Log'!K13=""),"",IF(TRIM('Actual Game'!K13&amp;"")=TRIM('App Log'!K13&amp;""),"MATCH","DIFF"))</f>
      </c>
      <c r="AC13" s="5">
        <f>IF(AND('Actual Game'!A13="",'App Log'!A13=""),"",IF(COUNTIF(D13:AB13,"DIFF")=0,"MATCH","CHECK"))</f>
      </c>
    </row>
    <row r="14" ht="19" customHeight="1">
      <c r="A14" s="5"/>
      <c r="B14" s="5">
        <f>IF('Actual Game'!B14="","",'Actual Game'!B14)</f>
      </c>
      <c r="C14" s="5">
        <f>IF('App Log'!B14="","",'App Log'!B14)</f>
      </c>
      <c r="D14" s="5">
        <f>IF(AND('Actual Game'!B14="",'App Log'!B14=""),"",IF(TRIM('Actual Game'!B14&amp;"")=TRIM('App Log'!B14&amp;""),"MATCH","DIFF"))</f>
      </c>
      <c r="E14" s="5">
        <f>IF('Actual Game'!C14="","",'Actual Game'!C14)</f>
      </c>
      <c r="F14" s="5">
        <f>IF('App Log'!C14="","",'App Log'!C14)</f>
      </c>
      <c r="G14" s="5">
        <f>IF(AND('Actual Game'!C14="",'App Log'!C14=""),"",IF(TRIM('Actual Game'!C14&amp;"")=TRIM('App Log'!C14&amp;""),"MATCH","DIFF"))</f>
      </c>
      <c r="H14" s="5">
        <f>IF('Actual Game'!D14="","",'Actual Game'!D14)</f>
      </c>
      <c r="I14" s="5">
        <f>IF('App Log'!D14="","",'App Log'!D14)</f>
      </c>
      <c r="J14" s="5">
        <f>IF(AND('Actual Game'!D14="",'App Log'!D14=""),"",IF(TRIM('Actual Game'!D14&amp;"")=TRIM('App Log'!D14&amp;""),"MATCH","DIFF"))</f>
      </c>
      <c r="K14" s="5">
        <f>IF('Actual Game'!E14="","",'Actual Game'!E14)</f>
      </c>
      <c r="L14" s="5">
        <f>IF('App Log'!E14="","",'App Log'!E14)</f>
      </c>
      <c r="M14" s="5">
        <f>IF(AND('Actual Game'!E14="",'App Log'!E14=""),"",IF(TRIM('Actual Game'!E14&amp;"")=TRIM('App Log'!E14&amp;""),"MATCH","DIFF"))</f>
      </c>
      <c r="N14" s="5">
        <f>IF('Actual Game'!F14="","",'Actual Game'!F14)</f>
      </c>
      <c r="O14" s="5">
        <f>IF('App Log'!F14="","",'App Log'!F14)</f>
      </c>
      <c r="P14" s="5">
        <f>IF(AND('Actual Game'!F14="",'App Log'!F14=""),"",IF(TRIM('Actual Game'!F14&amp;"")=TRIM('App Log'!F14&amp;""),"MATCH","DIFF"))</f>
      </c>
      <c r="Q14" s="5">
        <f>IF('Actual Game'!I14="","",'Actual Game'!I14)</f>
      </c>
      <c r="R14" s="5">
        <f>IF('App Log'!I14="","",'App Log'!I14)</f>
      </c>
      <c r="S14" s="5">
        <f>IF(AND('Actual Game'!I14="",'App Log'!I14=""),"",IF(TRIM('Actual Game'!I14&amp;"")=TRIM('App Log'!I14&amp;""),"MATCH","DIFF"))</f>
      </c>
      <c r="T14" s="5">
        <f>IF('Actual Game'!H14="","",'Actual Game'!H14)</f>
      </c>
      <c r="U14" s="5">
        <f>IF('App Log'!H14="","",'App Log'!H14)</f>
      </c>
      <c r="V14" s="5">
        <f>IF(AND('Actual Game'!H14="",'App Log'!H14=""),"",IF(TRIM('Actual Game'!H14&amp;"")=TRIM('App Log'!H14&amp;""),"MATCH","DIFF"))</f>
      </c>
      <c r="W14" s="5">
        <f>IF('Actual Game'!J14="","",'Actual Game'!J14)</f>
      </c>
      <c r="X14" s="5">
        <f>IF('App Log'!J14="","",'App Log'!J14)</f>
      </c>
      <c r="Y14" s="5">
        <f>IF(AND('Actual Game'!J14="",'App Log'!J14=""),"",IF(TRIM('Actual Game'!J14&amp;"")=TRIM('App Log'!J14&amp;""),"MATCH","DIFF"))</f>
      </c>
      <c r="Z14" s="5">
        <f>IF('Actual Game'!K14="","",'Actual Game'!K14)</f>
      </c>
      <c r="AA14" s="5">
        <f>IF('App Log'!K14="","",'App Log'!K14)</f>
      </c>
      <c r="AB14" s="5">
        <f>IF(AND('Actual Game'!K14="",'App Log'!K14=""),"",IF(TRIM('Actual Game'!K14&amp;"")=TRIM('App Log'!K14&amp;""),"MATCH","DIFF"))</f>
      </c>
      <c r="AC14" s="5">
        <f>IF(AND('Actual Game'!A14="",'App Log'!A14=""),"",IF(COUNTIF(D14:AB14,"DIFF")=0,"MATCH","CHECK"))</f>
      </c>
    </row>
    <row r="15" ht="19" customHeight="1">
      <c r="A15" s="5"/>
      <c r="B15" s="5">
        <f>IF('Actual Game'!B15="","",'Actual Game'!B15)</f>
      </c>
      <c r="C15" s="5">
        <f>IF('App Log'!B15="","",'App Log'!B15)</f>
      </c>
      <c r="D15" s="5">
        <f>IF(AND('Actual Game'!B15="",'App Log'!B15=""),"",IF(TRIM('Actual Game'!B15&amp;"")=TRIM('App Log'!B15&amp;""),"MATCH","DIFF"))</f>
      </c>
      <c r="E15" s="5">
        <f>IF('Actual Game'!C15="","",'Actual Game'!C15)</f>
      </c>
      <c r="F15" s="5">
        <f>IF('App Log'!C15="","",'App Log'!C15)</f>
      </c>
      <c r="G15" s="5">
        <f>IF(AND('Actual Game'!C15="",'App Log'!C15=""),"",IF(TRIM('Actual Game'!C15&amp;"")=TRIM('App Log'!C15&amp;""),"MATCH","DIFF"))</f>
      </c>
      <c r="H15" s="5">
        <f>IF('Actual Game'!D15="","",'Actual Game'!D15)</f>
      </c>
      <c r="I15" s="5">
        <f>IF('App Log'!D15="","",'App Log'!D15)</f>
      </c>
      <c r="J15" s="5">
        <f>IF(AND('Actual Game'!D15="",'App Log'!D15=""),"",IF(TRIM('Actual Game'!D15&amp;"")=TRIM('App Log'!D15&amp;""),"MATCH","DIFF"))</f>
      </c>
      <c r="K15" s="5">
        <f>IF('Actual Game'!E15="","",'Actual Game'!E15)</f>
      </c>
      <c r="L15" s="5">
        <f>IF('App Log'!E15="","",'App Log'!E15)</f>
      </c>
      <c r="M15" s="5">
        <f>IF(AND('Actual Game'!E15="",'App Log'!E15=""),"",IF(TRIM('Actual Game'!E15&amp;"")=TRIM('App Log'!E15&amp;""),"MATCH","DIFF"))</f>
      </c>
      <c r="N15" s="5">
        <f>IF('Actual Game'!F15="","",'Actual Game'!F15)</f>
      </c>
      <c r="O15" s="5">
        <f>IF('App Log'!F15="","",'App Log'!F15)</f>
      </c>
      <c r="P15" s="5">
        <f>IF(AND('Actual Game'!F15="",'App Log'!F15=""),"",IF(TRIM('Actual Game'!F15&amp;"")=TRIM('App Log'!F15&amp;""),"MATCH","DIFF"))</f>
      </c>
      <c r="Q15" s="5">
        <f>IF('Actual Game'!I15="","",'Actual Game'!I15)</f>
      </c>
      <c r="R15" s="5">
        <f>IF('App Log'!I15="","",'App Log'!I15)</f>
      </c>
      <c r="S15" s="5">
        <f>IF(AND('Actual Game'!I15="",'App Log'!I15=""),"",IF(TRIM('Actual Game'!I15&amp;"")=TRIM('App Log'!I15&amp;""),"MATCH","DIFF"))</f>
      </c>
      <c r="T15" s="5">
        <f>IF('Actual Game'!H15="","",'Actual Game'!H15)</f>
      </c>
      <c r="U15" s="5">
        <f>IF('App Log'!H15="","",'App Log'!H15)</f>
      </c>
      <c r="V15" s="5">
        <f>IF(AND('Actual Game'!H15="",'App Log'!H15=""),"",IF(TRIM('Actual Game'!H15&amp;"")=TRIM('App Log'!H15&amp;""),"MATCH","DIFF"))</f>
      </c>
      <c r="W15" s="5">
        <f>IF('Actual Game'!J15="","",'Actual Game'!J15)</f>
      </c>
      <c r="X15" s="5">
        <f>IF('App Log'!J15="","",'App Log'!J15)</f>
      </c>
      <c r="Y15" s="5">
        <f>IF(AND('Actual Game'!J15="",'App Log'!J15=""),"",IF(TRIM('Actual Game'!J15&amp;"")=TRIM('App Log'!J15&amp;""),"MATCH","DIFF"))</f>
      </c>
      <c r="Z15" s="5">
        <f>IF('Actual Game'!K15="","",'Actual Game'!K15)</f>
      </c>
      <c r="AA15" s="5">
        <f>IF('App Log'!K15="","",'App Log'!K15)</f>
      </c>
      <c r="AB15" s="5">
        <f>IF(AND('Actual Game'!K15="",'App Log'!K15=""),"",IF(TRIM('Actual Game'!K15&amp;"")=TRIM('App Log'!K15&amp;""),"MATCH","DIFF"))</f>
      </c>
      <c r="AC15" s="5">
        <f>IF(AND('Actual Game'!A15="",'App Log'!A15=""),"",IF(COUNTIF(D15:AB15,"DIFF")=0,"MATCH","CHECK"))</f>
      </c>
    </row>
    <row r="16" ht="19" customHeight="1">
      <c r="A16" s="5"/>
      <c r="B16" s="5">
        <f>IF('Actual Game'!B16="","",'Actual Game'!B16)</f>
      </c>
      <c r="C16" s="5">
        <f>IF('App Log'!B16="","",'App Log'!B16)</f>
      </c>
      <c r="D16" s="5">
        <f>IF(AND('Actual Game'!B16="",'App Log'!B16=""),"",IF(TRIM('Actual Game'!B16&amp;"")=TRIM('App Log'!B16&amp;""),"MATCH","DIFF"))</f>
      </c>
      <c r="E16" s="5">
        <f>IF('Actual Game'!C16="","",'Actual Game'!C16)</f>
      </c>
      <c r="F16" s="5">
        <f>IF('App Log'!C16="","",'App Log'!C16)</f>
      </c>
      <c r="G16" s="5">
        <f>IF(AND('Actual Game'!C16="",'App Log'!C16=""),"",IF(TRIM('Actual Game'!C16&amp;"")=TRIM('App Log'!C16&amp;""),"MATCH","DIFF"))</f>
      </c>
      <c r="H16" s="5">
        <f>IF('Actual Game'!D16="","",'Actual Game'!D16)</f>
      </c>
      <c r="I16" s="5">
        <f>IF('App Log'!D16="","",'App Log'!D16)</f>
      </c>
      <c r="J16" s="5">
        <f>IF(AND('Actual Game'!D16="",'App Log'!D16=""),"",IF(TRIM('Actual Game'!D16&amp;"")=TRIM('App Log'!D16&amp;""),"MATCH","DIFF"))</f>
      </c>
      <c r="K16" s="5">
        <f>IF('Actual Game'!E16="","",'Actual Game'!E16)</f>
      </c>
      <c r="L16" s="5">
        <f>IF('App Log'!E16="","",'App Log'!E16)</f>
      </c>
      <c r="M16" s="5">
        <f>IF(AND('Actual Game'!E16="",'App Log'!E16=""),"",IF(TRIM('Actual Game'!E16&amp;"")=TRIM('App Log'!E16&amp;""),"MATCH","DIFF"))</f>
      </c>
      <c r="N16" s="5">
        <f>IF('Actual Game'!F16="","",'Actual Game'!F16)</f>
      </c>
      <c r="O16" s="5">
        <f>IF('App Log'!F16="","",'App Log'!F16)</f>
      </c>
      <c r="P16" s="5">
        <f>IF(AND('Actual Game'!F16="",'App Log'!F16=""),"",IF(TRIM('Actual Game'!F16&amp;"")=TRIM('App Log'!F16&amp;""),"MATCH","DIFF"))</f>
      </c>
      <c r="Q16" s="5">
        <f>IF('Actual Game'!I16="","",'Actual Game'!I16)</f>
      </c>
      <c r="R16" s="5">
        <f>IF('App Log'!I16="","",'App Log'!I16)</f>
      </c>
      <c r="S16" s="5">
        <f>IF(AND('Actual Game'!I16="",'App Log'!I16=""),"",IF(TRIM('Actual Game'!I16&amp;"")=TRIM('App Log'!I16&amp;""),"MATCH","DIFF"))</f>
      </c>
      <c r="T16" s="5">
        <f>IF('Actual Game'!H16="","",'Actual Game'!H16)</f>
      </c>
      <c r="U16" s="5">
        <f>IF('App Log'!H16="","",'App Log'!H16)</f>
      </c>
      <c r="V16" s="5">
        <f>IF(AND('Actual Game'!H16="",'App Log'!H16=""),"",IF(TRIM('Actual Game'!H16&amp;"")=TRIM('App Log'!H16&amp;""),"MATCH","DIFF"))</f>
      </c>
      <c r="W16" s="5">
        <f>IF('Actual Game'!J16="","",'Actual Game'!J16)</f>
      </c>
      <c r="X16" s="5">
        <f>IF('App Log'!J16="","",'App Log'!J16)</f>
      </c>
      <c r="Y16" s="5">
        <f>IF(AND('Actual Game'!J16="",'App Log'!J16=""),"",IF(TRIM('Actual Game'!J16&amp;"")=TRIM('App Log'!J16&amp;""),"MATCH","DIFF"))</f>
      </c>
      <c r="Z16" s="5">
        <f>IF('Actual Game'!K16="","",'Actual Game'!K16)</f>
      </c>
      <c r="AA16" s="5">
        <f>IF('App Log'!K16="","",'App Log'!K16)</f>
      </c>
      <c r="AB16" s="5">
        <f>IF(AND('Actual Game'!K16="",'App Log'!K16=""),"",IF(TRIM('Actual Game'!K16&amp;"")=TRIM('App Log'!K16&amp;""),"MATCH","DIFF"))</f>
      </c>
      <c r="AC16" s="5">
        <f>IF(AND('Actual Game'!A16="",'App Log'!A16=""),"",IF(COUNTIF(D16:AB16,"DIFF")=0,"MATCH","CHECK"))</f>
      </c>
    </row>
    <row r="17" ht="19" customHeight="1">
      <c r="A17" s="5"/>
      <c r="B17" s="5">
        <f>IF('Actual Game'!B17="","",'Actual Game'!B17)</f>
      </c>
      <c r="C17" s="5">
        <f>IF('App Log'!B17="","",'App Log'!B17)</f>
      </c>
      <c r="D17" s="5">
        <f>IF(AND('Actual Game'!B17="",'App Log'!B17=""),"",IF(TRIM('Actual Game'!B17&amp;"")=TRIM('App Log'!B17&amp;""),"MATCH","DIFF"))</f>
      </c>
      <c r="E17" s="5">
        <f>IF('Actual Game'!C17="","",'Actual Game'!C17)</f>
      </c>
      <c r="F17" s="5">
        <f>IF('App Log'!C17="","",'App Log'!C17)</f>
      </c>
      <c r="G17" s="5">
        <f>IF(AND('Actual Game'!C17="",'App Log'!C17=""),"",IF(TRIM('Actual Game'!C17&amp;"")=TRIM('App Log'!C17&amp;""),"MATCH","DIFF"))</f>
      </c>
      <c r="H17" s="5">
        <f>IF('Actual Game'!D17="","",'Actual Game'!D17)</f>
      </c>
      <c r="I17" s="5">
        <f>IF('App Log'!D17="","",'App Log'!D17)</f>
      </c>
      <c r="J17" s="5">
        <f>IF(AND('Actual Game'!D17="",'App Log'!D17=""),"",IF(TRIM('Actual Game'!D17&amp;"")=TRIM('App Log'!D17&amp;""),"MATCH","DIFF"))</f>
      </c>
      <c r="K17" s="5">
        <f>IF('Actual Game'!E17="","",'Actual Game'!E17)</f>
      </c>
      <c r="L17" s="5">
        <f>IF('App Log'!E17="","",'App Log'!E17)</f>
      </c>
      <c r="M17" s="5">
        <f>IF(AND('Actual Game'!E17="",'App Log'!E17=""),"",IF(TRIM('Actual Game'!E17&amp;"")=TRIM('App Log'!E17&amp;""),"MATCH","DIFF"))</f>
      </c>
      <c r="N17" s="5">
        <f>IF('Actual Game'!F17="","",'Actual Game'!F17)</f>
      </c>
      <c r="O17" s="5">
        <f>IF('App Log'!F17="","",'App Log'!F17)</f>
      </c>
      <c r="P17" s="5">
        <f>IF(AND('Actual Game'!F17="",'App Log'!F17=""),"",IF(TRIM('Actual Game'!F17&amp;"")=TRIM('App Log'!F17&amp;""),"MATCH","DIFF"))</f>
      </c>
      <c r="Q17" s="5">
        <f>IF('Actual Game'!I17="","",'Actual Game'!I17)</f>
      </c>
      <c r="R17" s="5">
        <f>IF('App Log'!I17="","",'App Log'!I17)</f>
      </c>
      <c r="S17" s="5">
        <f>IF(AND('Actual Game'!I17="",'App Log'!I17=""),"",IF(TRIM('Actual Game'!I17&amp;"")=TRIM('App Log'!I17&amp;""),"MATCH","DIFF"))</f>
      </c>
      <c r="T17" s="5">
        <f>IF('Actual Game'!H17="","",'Actual Game'!H17)</f>
      </c>
      <c r="U17" s="5">
        <f>IF('App Log'!H17="","",'App Log'!H17)</f>
      </c>
      <c r="V17" s="5">
        <f>IF(AND('Actual Game'!H17="",'App Log'!H17=""),"",IF(TRIM('Actual Game'!H17&amp;"")=TRIM('App Log'!H17&amp;""),"MATCH","DIFF"))</f>
      </c>
      <c r="W17" s="5">
        <f>IF('Actual Game'!J17="","",'Actual Game'!J17)</f>
      </c>
      <c r="X17" s="5">
        <f>IF('App Log'!J17="","",'App Log'!J17)</f>
      </c>
      <c r="Y17" s="5">
        <f>IF(AND('Actual Game'!J17="",'App Log'!J17=""),"",IF(TRIM('Actual Game'!J17&amp;"")=TRIM('App Log'!J17&amp;""),"MATCH","DIFF"))</f>
      </c>
      <c r="Z17" s="5">
        <f>IF('Actual Game'!K17="","",'Actual Game'!K17)</f>
      </c>
      <c r="AA17" s="5">
        <f>IF('App Log'!K17="","",'App Log'!K17)</f>
      </c>
      <c r="AB17" s="5">
        <f>IF(AND('Actual Game'!K17="",'App Log'!K17=""),"",IF(TRIM('Actual Game'!K17&amp;"")=TRIM('App Log'!K17&amp;""),"MATCH","DIFF"))</f>
      </c>
      <c r="AC17" s="5">
        <f>IF(AND('Actual Game'!A17="",'App Log'!A17=""),"",IF(COUNTIF(D17:AB17,"DIFF")=0,"MATCH","CHECK"))</f>
      </c>
    </row>
    <row r="18" ht="19" customHeight="1">
      <c r="A18" s="5"/>
      <c r="B18" s="5">
        <f>IF('Actual Game'!B18="","",'Actual Game'!B18)</f>
      </c>
      <c r="C18" s="5">
        <f>IF('App Log'!B18="","",'App Log'!B18)</f>
      </c>
      <c r="D18" s="5">
        <f>IF(AND('Actual Game'!B18="",'App Log'!B18=""),"",IF(TRIM('Actual Game'!B18&amp;"")=TRIM('App Log'!B18&amp;""),"MATCH","DIFF"))</f>
      </c>
      <c r="E18" s="5">
        <f>IF('Actual Game'!C18="","",'Actual Game'!C18)</f>
      </c>
      <c r="F18" s="5">
        <f>IF('App Log'!C18="","",'App Log'!C18)</f>
      </c>
      <c r="G18" s="5">
        <f>IF(AND('Actual Game'!C18="",'App Log'!C18=""),"",IF(TRIM('Actual Game'!C18&amp;"")=TRIM('App Log'!C18&amp;""),"MATCH","DIFF"))</f>
      </c>
      <c r="H18" s="5">
        <f>IF('Actual Game'!D18="","",'Actual Game'!D18)</f>
      </c>
      <c r="I18" s="5">
        <f>IF('App Log'!D18="","",'App Log'!D18)</f>
      </c>
      <c r="J18" s="5">
        <f>IF(AND('Actual Game'!D18="",'App Log'!D18=""),"",IF(TRIM('Actual Game'!D18&amp;"")=TRIM('App Log'!D18&amp;""),"MATCH","DIFF"))</f>
      </c>
      <c r="K18" s="5">
        <f>IF('Actual Game'!E18="","",'Actual Game'!E18)</f>
      </c>
      <c r="L18" s="5">
        <f>IF('App Log'!E18="","",'App Log'!E18)</f>
      </c>
      <c r="M18" s="5">
        <f>IF(AND('Actual Game'!E18="",'App Log'!E18=""),"",IF(TRIM('Actual Game'!E18&amp;"")=TRIM('App Log'!E18&amp;""),"MATCH","DIFF"))</f>
      </c>
      <c r="N18" s="5">
        <f>IF('Actual Game'!F18="","",'Actual Game'!F18)</f>
      </c>
      <c r="O18" s="5">
        <f>IF('App Log'!F18="","",'App Log'!F18)</f>
      </c>
      <c r="P18" s="5">
        <f>IF(AND('Actual Game'!F18="",'App Log'!F18=""),"",IF(TRIM('Actual Game'!F18&amp;"")=TRIM('App Log'!F18&amp;""),"MATCH","DIFF"))</f>
      </c>
      <c r="Q18" s="5">
        <f>IF('Actual Game'!I18="","",'Actual Game'!I18)</f>
      </c>
      <c r="R18" s="5">
        <f>IF('App Log'!I18="","",'App Log'!I18)</f>
      </c>
      <c r="S18" s="5">
        <f>IF(AND('Actual Game'!I18="",'App Log'!I18=""),"",IF(TRIM('Actual Game'!I18&amp;"")=TRIM('App Log'!I18&amp;""),"MATCH","DIFF"))</f>
      </c>
      <c r="T18" s="5">
        <f>IF('Actual Game'!H18="","",'Actual Game'!H18)</f>
      </c>
      <c r="U18" s="5">
        <f>IF('App Log'!H18="","",'App Log'!H18)</f>
      </c>
      <c r="V18" s="5">
        <f>IF(AND('Actual Game'!H18="",'App Log'!H18=""),"",IF(TRIM('Actual Game'!H18&amp;"")=TRIM('App Log'!H18&amp;""),"MATCH","DIFF"))</f>
      </c>
      <c r="W18" s="5">
        <f>IF('Actual Game'!J18="","",'Actual Game'!J18)</f>
      </c>
      <c r="X18" s="5">
        <f>IF('App Log'!J18="","",'App Log'!J18)</f>
      </c>
      <c r="Y18" s="5">
        <f>IF(AND('Actual Game'!J18="",'App Log'!J18=""),"",IF(TRIM('Actual Game'!J18&amp;"")=TRIM('App Log'!J18&amp;""),"MATCH","DIFF"))</f>
      </c>
      <c r="Z18" s="5">
        <f>IF('Actual Game'!K18="","",'Actual Game'!K18)</f>
      </c>
      <c r="AA18" s="5">
        <f>IF('App Log'!K18="","",'App Log'!K18)</f>
      </c>
      <c r="AB18" s="5">
        <f>IF(AND('Actual Game'!K18="",'App Log'!K18=""),"",IF(TRIM('Actual Game'!K18&amp;"")=TRIM('App Log'!K18&amp;""),"MATCH","DIFF"))</f>
      </c>
      <c r="AC18" s="5">
        <f>IF(AND('Actual Game'!A18="",'App Log'!A18=""),"",IF(COUNTIF(D18:AB18,"DIFF")=0,"MATCH","CHECK"))</f>
      </c>
    </row>
    <row r="19" ht="19" customHeight="1">
      <c r="A19" s="5"/>
      <c r="B19" s="5">
        <f>IF('Actual Game'!B19="","",'Actual Game'!B19)</f>
      </c>
      <c r="C19" s="5">
        <f>IF('App Log'!B19="","",'App Log'!B19)</f>
      </c>
      <c r="D19" s="5">
        <f>IF(AND('Actual Game'!B19="",'App Log'!B19=""),"",IF(TRIM('Actual Game'!B19&amp;"")=TRIM('App Log'!B19&amp;""),"MATCH","DIFF"))</f>
      </c>
      <c r="E19" s="5">
        <f>IF('Actual Game'!C19="","",'Actual Game'!C19)</f>
      </c>
      <c r="F19" s="5">
        <f>IF('App Log'!C19="","",'App Log'!C19)</f>
      </c>
      <c r="G19" s="5">
        <f>IF(AND('Actual Game'!C19="",'App Log'!C19=""),"",IF(TRIM('Actual Game'!C19&amp;"")=TRIM('App Log'!C19&amp;""),"MATCH","DIFF"))</f>
      </c>
      <c r="H19" s="5">
        <f>IF('Actual Game'!D19="","",'Actual Game'!D19)</f>
      </c>
      <c r="I19" s="5">
        <f>IF('App Log'!D19="","",'App Log'!D19)</f>
      </c>
      <c r="J19" s="5">
        <f>IF(AND('Actual Game'!D19="",'App Log'!D19=""),"",IF(TRIM('Actual Game'!D19&amp;"")=TRIM('App Log'!D19&amp;""),"MATCH","DIFF"))</f>
      </c>
      <c r="K19" s="5">
        <f>IF('Actual Game'!E19="","",'Actual Game'!E19)</f>
      </c>
      <c r="L19" s="5">
        <f>IF('App Log'!E19="","",'App Log'!E19)</f>
      </c>
      <c r="M19" s="5">
        <f>IF(AND('Actual Game'!E19="",'App Log'!E19=""),"",IF(TRIM('Actual Game'!E19&amp;"")=TRIM('App Log'!E19&amp;""),"MATCH","DIFF"))</f>
      </c>
      <c r="N19" s="5">
        <f>IF('Actual Game'!F19="","",'Actual Game'!F19)</f>
      </c>
      <c r="O19" s="5">
        <f>IF('App Log'!F19="","",'App Log'!F19)</f>
      </c>
      <c r="P19" s="5">
        <f>IF(AND('Actual Game'!F19="",'App Log'!F19=""),"",IF(TRIM('Actual Game'!F19&amp;"")=TRIM('App Log'!F19&amp;""),"MATCH","DIFF"))</f>
      </c>
      <c r="Q19" s="5">
        <f>IF('Actual Game'!I19="","",'Actual Game'!I19)</f>
      </c>
      <c r="R19" s="5">
        <f>IF('App Log'!I19="","",'App Log'!I19)</f>
      </c>
      <c r="S19" s="5">
        <f>IF(AND('Actual Game'!I19="",'App Log'!I19=""),"",IF(TRIM('Actual Game'!I19&amp;"")=TRIM('App Log'!I19&amp;""),"MATCH","DIFF"))</f>
      </c>
      <c r="T19" s="5">
        <f>IF('Actual Game'!H19="","",'Actual Game'!H19)</f>
      </c>
      <c r="U19" s="5">
        <f>IF('App Log'!H19="","",'App Log'!H19)</f>
      </c>
      <c r="V19" s="5">
        <f>IF(AND('Actual Game'!H19="",'App Log'!H19=""),"",IF(TRIM('Actual Game'!H19&amp;"")=TRIM('App Log'!H19&amp;""),"MATCH","DIFF"))</f>
      </c>
      <c r="W19" s="5">
        <f>IF('Actual Game'!J19="","",'Actual Game'!J19)</f>
      </c>
      <c r="X19" s="5">
        <f>IF('App Log'!J19="","",'App Log'!J19)</f>
      </c>
      <c r="Y19" s="5">
        <f>IF(AND('Actual Game'!J19="",'App Log'!J19=""),"",IF(TRIM('Actual Game'!J19&amp;"")=TRIM('App Log'!J19&amp;""),"MATCH","DIFF"))</f>
      </c>
      <c r="Z19" s="5">
        <f>IF('Actual Game'!K19="","",'Actual Game'!K19)</f>
      </c>
      <c r="AA19" s="5">
        <f>IF('App Log'!K19="","",'App Log'!K19)</f>
      </c>
      <c r="AB19" s="5">
        <f>IF(AND('Actual Game'!K19="",'App Log'!K19=""),"",IF(TRIM('Actual Game'!K19&amp;"")=TRIM('App Log'!K19&amp;""),"MATCH","DIFF"))</f>
      </c>
      <c r="AC19" s="5">
        <f>IF(AND('Actual Game'!A19="",'App Log'!A19=""),"",IF(COUNTIF(D19:AB19,"DIFF")=0,"MATCH","CHECK"))</f>
      </c>
    </row>
    <row r="20" ht="19" customHeight="1">
      <c r="A20" s="5"/>
      <c r="B20" s="5">
        <f>IF('Actual Game'!B20="","",'Actual Game'!B20)</f>
      </c>
      <c r="C20" s="5">
        <f>IF('App Log'!B20="","",'App Log'!B20)</f>
      </c>
      <c r="D20" s="5">
        <f>IF(AND('Actual Game'!B20="",'App Log'!B20=""),"",IF(TRIM('Actual Game'!B20&amp;"")=TRIM('App Log'!B20&amp;""),"MATCH","DIFF"))</f>
      </c>
      <c r="E20" s="5">
        <f>IF('Actual Game'!C20="","",'Actual Game'!C20)</f>
      </c>
      <c r="F20" s="5">
        <f>IF('App Log'!C20="","",'App Log'!C20)</f>
      </c>
      <c r="G20" s="5">
        <f>IF(AND('Actual Game'!C20="",'App Log'!C20=""),"",IF(TRIM('Actual Game'!C20&amp;"")=TRIM('App Log'!C20&amp;""),"MATCH","DIFF"))</f>
      </c>
      <c r="H20" s="5">
        <f>IF('Actual Game'!D20="","",'Actual Game'!D20)</f>
      </c>
      <c r="I20" s="5">
        <f>IF('App Log'!D20="","",'App Log'!D20)</f>
      </c>
      <c r="J20" s="5">
        <f>IF(AND('Actual Game'!D20="",'App Log'!D20=""),"",IF(TRIM('Actual Game'!D20&amp;"")=TRIM('App Log'!D20&amp;""),"MATCH","DIFF"))</f>
      </c>
      <c r="K20" s="5">
        <f>IF('Actual Game'!E20="","",'Actual Game'!E20)</f>
      </c>
      <c r="L20" s="5">
        <f>IF('App Log'!E20="","",'App Log'!E20)</f>
      </c>
      <c r="M20" s="5">
        <f>IF(AND('Actual Game'!E20="",'App Log'!E20=""),"",IF(TRIM('Actual Game'!E20&amp;"")=TRIM('App Log'!E20&amp;""),"MATCH","DIFF"))</f>
      </c>
      <c r="N20" s="5">
        <f>IF('Actual Game'!F20="","",'Actual Game'!F20)</f>
      </c>
      <c r="O20" s="5">
        <f>IF('App Log'!F20="","",'App Log'!F20)</f>
      </c>
      <c r="P20" s="5">
        <f>IF(AND('Actual Game'!F20="",'App Log'!F20=""),"",IF(TRIM('Actual Game'!F20&amp;"")=TRIM('App Log'!F20&amp;""),"MATCH","DIFF"))</f>
      </c>
      <c r="Q20" s="5">
        <f>IF('Actual Game'!I20="","",'Actual Game'!I20)</f>
      </c>
      <c r="R20" s="5">
        <f>IF('App Log'!I20="","",'App Log'!I20)</f>
      </c>
      <c r="S20" s="5">
        <f>IF(AND('Actual Game'!I20="",'App Log'!I20=""),"",IF(TRIM('Actual Game'!I20&amp;"")=TRIM('App Log'!I20&amp;""),"MATCH","DIFF"))</f>
      </c>
      <c r="T20" s="5">
        <f>IF('Actual Game'!H20="","",'Actual Game'!H20)</f>
      </c>
      <c r="U20" s="5">
        <f>IF('App Log'!H20="","",'App Log'!H20)</f>
      </c>
      <c r="V20" s="5">
        <f>IF(AND('Actual Game'!H20="",'App Log'!H20=""),"",IF(TRIM('Actual Game'!H20&amp;"")=TRIM('App Log'!H20&amp;""),"MATCH","DIFF"))</f>
      </c>
      <c r="W20" s="5">
        <f>IF('Actual Game'!J20="","",'Actual Game'!J20)</f>
      </c>
      <c r="X20" s="5">
        <f>IF('App Log'!J20="","",'App Log'!J20)</f>
      </c>
      <c r="Y20" s="5">
        <f>IF(AND('Actual Game'!J20="",'App Log'!J20=""),"",IF(TRIM('Actual Game'!J20&amp;"")=TRIM('App Log'!J20&amp;""),"MATCH","DIFF"))</f>
      </c>
      <c r="Z20" s="5">
        <f>IF('Actual Game'!K20="","",'Actual Game'!K20)</f>
      </c>
      <c r="AA20" s="5">
        <f>IF('App Log'!K20="","",'App Log'!K20)</f>
      </c>
      <c r="AB20" s="5">
        <f>IF(AND('Actual Game'!K20="",'App Log'!K20=""),"",IF(TRIM('Actual Game'!K20&amp;"")=TRIM('App Log'!K20&amp;""),"MATCH","DIFF"))</f>
      </c>
      <c r="AC20" s="5">
        <f>IF(AND('Actual Game'!A20="",'App Log'!A20=""),"",IF(COUNTIF(D20:AB20,"DIFF")=0,"MATCH","CHECK"))</f>
      </c>
    </row>
    <row r="21" ht="19" customHeight="1">
      <c r="A21" s="5"/>
      <c r="B21" s="5">
        <f>IF('Actual Game'!B21="","",'Actual Game'!B21)</f>
      </c>
      <c r="C21" s="5">
        <f>IF('App Log'!B21="","",'App Log'!B21)</f>
      </c>
      <c r="D21" s="5">
        <f>IF(AND('Actual Game'!B21="",'App Log'!B21=""),"",IF(TRIM('Actual Game'!B21&amp;"")=TRIM('App Log'!B21&amp;""),"MATCH","DIFF"))</f>
      </c>
      <c r="E21" s="5">
        <f>IF('Actual Game'!C21="","",'Actual Game'!C21)</f>
      </c>
      <c r="F21" s="5">
        <f>IF('App Log'!C21="","",'App Log'!C21)</f>
      </c>
      <c r="G21" s="5">
        <f>IF(AND('Actual Game'!C21="",'App Log'!C21=""),"",IF(TRIM('Actual Game'!C21&amp;"")=TRIM('App Log'!C21&amp;""),"MATCH","DIFF"))</f>
      </c>
      <c r="H21" s="5">
        <f>IF('Actual Game'!D21="","",'Actual Game'!D21)</f>
      </c>
      <c r="I21" s="5">
        <f>IF('App Log'!D21="","",'App Log'!D21)</f>
      </c>
      <c r="J21" s="5">
        <f>IF(AND('Actual Game'!D21="",'App Log'!D21=""),"",IF(TRIM('Actual Game'!D21&amp;"")=TRIM('App Log'!D21&amp;""),"MATCH","DIFF"))</f>
      </c>
      <c r="K21" s="5">
        <f>IF('Actual Game'!E21="","",'Actual Game'!E21)</f>
      </c>
      <c r="L21" s="5">
        <f>IF('App Log'!E21="","",'App Log'!E21)</f>
      </c>
      <c r="M21" s="5">
        <f>IF(AND('Actual Game'!E21="",'App Log'!E21=""),"",IF(TRIM('Actual Game'!E21&amp;"")=TRIM('App Log'!E21&amp;""),"MATCH","DIFF"))</f>
      </c>
      <c r="N21" s="5">
        <f>IF('Actual Game'!F21="","",'Actual Game'!F21)</f>
      </c>
      <c r="O21" s="5">
        <f>IF('App Log'!F21="","",'App Log'!F21)</f>
      </c>
      <c r="P21" s="5">
        <f>IF(AND('Actual Game'!F21="",'App Log'!F21=""),"",IF(TRIM('Actual Game'!F21&amp;"")=TRIM('App Log'!F21&amp;""),"MATCH","DIFF"))</f>
      </c>
      <c r="Q21" s="5">
        <f>IF('Actual Game'!I21="","",'Actual Game'!I21)</f>
      </c>
      <c r="R21" s="5">
        <f>IF('App Log'!I21="","",'App Log'!I21)</f>
      </c>
      <c r="S21" s="5">
        <f>IF(AND('Actual Game'!I21="",'App Log'!I21=""),"",IF(TRIM('Actual Game'!I21&amp;"")=TRIM('App Log'!I21&amp;""),"MATCH","DIFF"))</f>
      </c>
      <c r="T21" s="5">
        <f>IF('Actual Game'!H21="","",'Actual Game'!H21)</f>
      </c>
      <c r="U21" s="5">
        <f>IF('App Log'!H21="","",'App Log'!H21)</f>
      </c>
      <c r="V21" s="5">
        <f>IF(AND('Actual Game'!H21="",'App Log'!H21=""),"",IF(TRIM('Actual Game'!H21&amp;"")=TRIM('App Log'!H21&amp;""),"MATCH","DIFF"))</f>
      </c>
      <c r="W21" s="5">
        <f>IF('Actual Game'!J21="","",'Actual Game'!J21)</f>
      </c>
      <c r="X21" s="5">
        <f>IF('App Log'!J21="","",'App Log'!J21)</f>
      </c>
      <c r="Y21" s="5">
        <f>IF(AND('Actual Game'!J21="",'App Log'!J21=""),"",IF(TRIM('Actual Game'!J21&amp;"")=TRIM('App Log'!J21&amp;""),"MATCH","DIFF"))</f>
      </c>
      <c r="Z21" s="5">
        <f>IF('Actual Game'!K21="","",'Actual Game'!K21)</f>
      </c>
      <c r="AA21" s="5">
        <f>IF('App Log'!K21="","",'App Log'!K21)</f>
      </c>
      <c r="AB21" s="5">
        <f>IF(AND('Actual Game'!K21="",'App Log'!K21=""),"",IF(TRIM('Actual Game'!K21&amp;"")=TRIM('App Log'!K21&amp;""),"MATCH","DIFF"))</f>
      </c>
      <c r="AC21" s="5">
        <f>IF(AND('Actual Game'!A21="",'App Log'!A21=""),"",IF(COUNTIF(D21:AB21,"DIFF")=0,"MATCH","CHECK"))</f>
      </c>
    </row>
    <row r="22" ht="19" customHeight="1">
      <c r="A22" s="5"/>
      <c r="B22" s="5">
        <f>IF('Actual Game'!B22="","",'Actual Game'!B22)</f>
      </c>
      <c r="C22" s="5">
        <f>IF('App Log'!B22="","",'App Log'!B22)</f>
      </c>
      <c r="D22" s="5">
        <f>IF(AND('Actual Game'!B22="",'App Log'!B22=""),"",IF(TRIM('Actual Game'!B22&amp;"")=TRIM('App Log'!B22&amp;""),"MATCH","DIFF"))</f>
      </c>
      <c r="E22" s="5">
        <f>IF('Actual Game'!C22="","",'Actual Game'!C22)</f>
      </c>
      <c r="F22" s="5">
        <f>IF('App Log'!C22="","",'App Log'!C22)</f>
      </c>
      <c r="G22" s="5">
        <f>IF(AND('Actual Game'!C22="",'App Log'!C22=""),"",IF(TRIM('Actual Game'!C22&amp;"")=TRIM('App Log'!C22&amp;""),"MATCH","DIFF"))</f>
      </c>
      <c r="H22" s="5">
        <f>IF('Actual Game'!D22="","",'Actual Game'!D22)</f>
      </c>
      <c r="I22" s="5">
        <f>IF('App Log'!D22="","",'App Log'!D22)</f>
      </c>
      <c r="J22" s="5">
        <f>IF(AND('Actual Game'!D22="",'App Log'!D22=""),"",IF(TRIM('Actual Game'!D22&amp;"")=TRIM('App Log'!D22&amp;""),"MATCH","DIFF"))</f>
      </c>
      <c r="K22" s="5">
        <f>IF('Actual Game'!E22="","",'Actual Game'!E22)</f>
      </c>
      <c r="L22" s="5">
        <f>IF('App Log'!E22="","",'App Log'!E22)</f>
      </c>
      <c r="M22" s="5">
        <f>IF(AND('Actual Game'!E22="",'App Log'!E22=""),"",IF(TRIM('Actual Game'!E22&amp;"")=TRIM('App Log'!E22&amp;""),"MATCH","DIFF"))</f>
      </c>
      <c r="N22" s="5">
        <f>IF('Actual Game'!F22="","",'Actual Game'!F22)</f>
      </c>
      <c r="O22" s="5">
        <f>IF('App Log'!F22="","",'App Log'!F22)</f>
      </c>
      <c r="P22" s="5">
        <f>IF(AND('Actual Game'!F22="",'App Log'!F22=""),"",IF(TRIM('Actual Game'!F22&amp;"")=TRIM('App Log'!F22&amp;""),"MATCH","DIFF"))</f>
      </c>
      <c r="Q22" s="5">
        <f>IF('Actual Game'!I22="","",'Actual Game'!I22)</f>
      </c>
      <c r="R22" s="5">
        <f>IF('App Log'!I22="","",'App Log'!I22)</f>
      </c>
      <c r="S22" s="5">
        <f>IF(AND('Actual Game'!I22="",'App Log'!I22=""),"",IF(TRIM('Actual Game'!I22&amp;"")=TRIM('App Log'!I22&amp;""),"MATCH","DIFF"))</f>
      </c>
      <c r="T22" s="5">
        <f>IF('Actual Game'!H22="","",'Actual Game'!H22)</f>
      </c>
      <c r="U22" s="5">
        <f>IF('App Log'!H22="","",'App Log'!H22)</f>
      </c>
      <c r="V22" s="5">
        <f>IF(AND('Actual Game'!H22="",'App Log'!H22=""),"",IF(TRIM('Actual Game'!H22&amp;"")=TRIM('App Log'!H22&amp;""),"MATCH","DIFF"))</f>
      </c>
      <c r="W22" s="5">
        <f>IF('Actual Game'!J22="","",'Actual Game'!J22)</f>
      </c>
      <c r="X22" s="5">
        <f>IF('App Log'!J22="","",'App Log'!J22)</f>
      </c>
      <c r="Y22" s="5">
        <f>IF(AND('Actual Game'!J22="",'App Log'!J22=""),"",IF(TRIM('Actual Game'!J22&amp;"")=TRIM('App Log'!J22&amp;""),"MATCH","DIFF"))</f>
      </c>
      <c r="Z22" s="5">
        <f>IF('Actual Game'!K22="","",'Actual Game'!K22)</f>
      </c>
      <c r="AA22" s="5">
        <f>IF('App Log'!K22="","",'App Log'!K22)</f>
      </c>
      <c r="AB22" s="5">
        <f>IF(AND('Actual Game'!K22="",'App Log'!K22=""),"",IF(TRIM('Actual Game'!K22&amp;"")=TRIM('App Log'!K22&amp;""),"MATCH","DIFF"))</f>
      </c>
      <c r="AC22" s="5">
        <f>IF(AND('Actual Game'!A22="",'App Log'!A22=""),"",IF(COUNTIF(D22:AB22,"DIFF")=0,"MATCH","CHECK"))</f>
      </c>
    </row>
    <row r="23" ht="19" customHeight="1">
      <c r="A23" s="5"/>
      <c r="B23" s="5">
        <f>IF('Actual Game'!B23="","",'Actual Game'!B23)</f>
      </c>
      <c r="C23" s="5">
        <f>IF('App Log'!B23="","",'App Log'!B23)</f>
      </c>
      <c r="D23" s="5">
        <f>IF(AND('Actual Game'!B23="",'App Log'!B23=""),"",IF(TRIM('Actual Game'!B23&amp;"")=TRIM('App Log'!B23&amp;""),"MATCH","DIFF"))</f>
      </c>
      <c r="E23" s="5">
        <f>IF('Actual Game'!C23="","",'Actual Game'!C23)</f>
      </c>
      <c r="F23" s="5">
        <f>IF('App Log'!C23="","",'App Log'!C23)</f>
      </c>
      <c r="G23" s="5">
        <f>IF(AND('Actual Game'!C23="",'App Log'!C23=""),"",IF(TRIM('Actual Game'!C23&amp;"")=TRIM('App Log'!C23&amp;""),"MATCH","DIFF"))</f>
      </c>
      <c r="H23" s="5">
        <f>IF('Actual Game'!D23="","",'Actual Game'!D23)</f>
      </c>
      <c r="I23" s="5">
        <f>IF('App Log'!D23="","",'App Log'!D23)</f>
      </c>
      <c r="J23" s="5">
        <f>IF(AND('Actual Game'!D23="",'App Log'!D23=""),"",IF(TRIM('Actual Game'!D23&amp;"")=TRIM('App Log'!D23&amp;""),"MATCH","DIFF"))</f>
      </c>
      <c r="K23" s="5">
        <f>IF('Actual Game'!E23="","",'Actual Game'!E23)</f>
      </c>
      <c r="L23" s="5">
        <f>IF('App Log'!E23="","",'App Log'!E23)</f>
      </c>
      <c r="M23" s="5">
        <f>IF(AND('Actual Game'!E23="",'App Log'!E23=""),"",IF(TRIM('Actual Game'!E23&amp;"")=TRIM('App Log'!E23&amp;""),"MATCH","DIFF"))</f>
      </c>
      <c r="N23" s="5">
        <f>IF('Actual Game'!F23="","",'Actual Game'!F23)</f>
      </c>
      <c r="O23" s="5">
        <f>IF('App Log'!F23="","",'App Log'!F23)</f>
      </c>
      <c r="P23" s="5">
        <f>IF(AND('Actual Game'!F23="",'App Log'!F23=""),"",IF(TRIM('Actual Game'!F23&amp;"")=TRIM('App Log'!F23&amp;""),"MATCH","DIFF"))</f>
      </c>
      <c r="Q23" s="5">
        <f>IF('Actual Game'!I23="","",'Actual Game'!I23)</f>
      </c>
      <c r="R23" s="5">
        <f>IF('App Log'!I23="","",'App Log'!I23)</f>
      </c>
      <c r="S23" s="5">
        <f>IF(AND('Actual Game'!I23="",'App Log'!I23=""),"",IF(TRIM('Actual Game'!I23&amp;"")=TRIM('App Log'!I23&amp;""),"MATCH","DIFF"))</f>
      </c>
      <c r="T23" s="5">
        <f>IF('Actual Game'!H23="","",'Actual Game'!H23)</f>
      </c>
      <c r="U23" s="5">
        <f>IF('App Log'!H23="","",'App Log'!H23)</f>
      </c>
      <c r="V23" s="5">
        <f>IF(AND('Actual Game'!H23="",'App Log'!H23=""),"",IF(TRIM('Actual Game'!H23&amp;"")=TRIM('App Log'!H23&amp;""),"MATCH","DIFF"))</f>
      </c>
      <c r="W23" s="5">
        <f>IF('Actual Game'!J23="","",'Actual Game'!J23)</f>
      </c>
      <c r="X23" s="5">
        <f>IF('App Log'!J23="","",'App Log'!J23)</f>
      </c>
      <c r="Y23" s="5">
        <f>IF(AND('Actual Game'!J23="",'App Log'!J23=""),"",IF(TRIM('Actual Game'!J23&amp;"")=TRIM('App Log'!J23&amp;""),"MATCH","DIFF"))</f>
      </c>
      <c r="Z23" s="5">
        <f>IF('Actual Game'!K23="","",'Actual Game'!K23)</f>
      </c>
      <c r="AA23" s="5">
        <f>IF('App Log'!K23="","",'App Log'!K23)</f>
      </c>
      <c r="AB23" s="5">
        <f>IF(AND('Actual Game'!K23="",'App Log'!K23=""),"",IF(TRIM('Actual Game'!K23&amp;"")=TRIM('App Log'!K23&amp;""),"MATCH","DIFF"))</f>
      </c>
      <c r="AC23" s="5">
        <f>IF(AND('Actual Game'!A23="",'App Log'!A23=""),"",IF(COUNTIF(D23:AB23,"DIFF")=0,"MATCH","CHECK"))</f>
      </c>
    </row>
    <row r="24" ht="19" customHeight="1">
      <c r="A24" s="5"/>
      <c r="B24" s="5">
        <f>IF('Actual Game'!B24="","",'Actual Game'!B24)</f>
      </c>
      <c r="C24" s="5">
        <f>IF('App Log'!B24="","",'App Log'!B24)</f>
      </c>
      <c r="D24" s="5">
        <f>IF(AND('Actual Game'!B24="",'App Log'!B24=""),"",IF(TRIM('Actual Game'!B24&amp;"")=TRIM('App Log'!B24&amp;""),"MATCH","DIFF"))</f>
      </c>
      <c r="E24" s="5">
        <f>IF('Actual Game'!C24="","",'Actual Game'!C24)</f>
      </c>
      <c r="F24" s="5">
        <f>IF('App Log'!C24="","",'App Log'!C24)</f>
      </c>
      <c r="G24" s="5">
        <f>IF(AND('Actual Game'!C24="",'App Log'!C24=""),"",IF(TRIM('Actual Game'!C24&amp;"")=TRIM('App Log'!C24&amp;""),"MATCH","DIFF"))</f>
      </c>
      <c r="H24" s="5">
        <f>IF('Actual Game'!D24="","",'Actual Game'!D24)</f>
      </c>
      <c r="I24" s="5">
        <f>IF('App Log'!D24="","",'App Log'!D24)</f>
      </c>
      <c r="J24" s="5">
        <f>IF(AND('Actual Game'!D24="",'App Log'!D24=""),"",IF(TRIM('Actual Game'!D24&amp;"")=TRIM('App Log'!D24&amp;""),"MATCH","DIFF"))</f>
      </c>
      <c r="K24" s="5">
        <f>IF('Actual Game'!E24="","",'Actual Game'!E24)</f>
      </c>
      <c r="L24" s="5">
        <f>IF('App Log'!E24="","",'App Log'!E24)</f>
      </c>
      <c r="M24" s="5">
        <f>IF(AND('Actual Game'!E24="",'App Log'!E24=""),"",IF(TRIM('Actual Game'!E24&amp;"")=TRIM('App Log'!E24&amp;""),"MATCH","DIFF"))</f>
      </c>
      <c r="N24" s="5">
        <f>IF('Actual Game'!F24="","",'Actual Game'!F24)</f>
      </c>
      <c r="O24" s="5">
        <f>IF('App Log'!F24="","",'App Log'!F24)</f>
      </c>
      <c r="P24" s="5">
        <f>IF(AND('Actual Game'!F24="",'App Log'!F24=""),"",IF(TRIM('Actual Game'!F24&amp;"")=TRIM('App Log'!F24&amp;""),"MATCH","DIFF"))</f>
      </c>
      <c r="Q24" s="5">
        <f>IF('Actual Game'!I24="","",'Actual Game'!I24)</f>
      </c>
      <c r="R24" s="5">
        <f>IF('App Log'!I24="","",'App Log'!I24)</f>
      </c>
      <c r="S24" s="5">
        <f>IF(AND('Actual Game'!I24="",'App Log'!I24=""),"",IF(TRIM('Actual Game'!I24&amp;"")=TRIM('App Log'!I24&amp;""),"MATCH","DIFF"))</f>
      </c>
      <c r="T24" s="5">
        <f>IF('Actual Game'!H24="","",'Actual Game'!H24)</f>
      </c>
      <c r="U24" s="5">
        <f>IF('App Log'!H24="","",'App Log'!H24)</f>
      </c>
      <c r="V24" s="5">
        <f>IF(AND('Actual Game'!H24="",'App Log'!H24=""),"",IF(TRIM('Actual Game'!H24&amp;"")=TRIM('App Log'!H24&amp;""),"MATCH","DIFF"))</f>
      </c>
      <c r="W24" s="5">
        <f>IF('Actual Game'!J24="","",'Actual Game'!J24)</f>
      </c>
      <c r="X24" s="5">
        <f>IF('App Log'!J24="","",'App Log'!J24)</f>
      </c>
      <c r="Y24" s="5">
        <f>IF(AND('Actual Game'!J24="",'App Log'!J24=""),"",IF(TRIM('Actual Game'!J24&amp;"")=TRIM('App Log'!J24&amp;""),"MATCH","DIFF"))</f>
      </c>
      <c r="Z24" s="5">
        <f>IF('Actual Game'!K24="","",'Actual Game'!K24)</f>
      </c>
      <c r="AA24" s="5">
        <f>IF('App Log'!K24="","",'App Log'!K24)</f>
      </c>
      <c r="AB24" s="5">
        <f>IF(AND('Actual Game'!K24="",'App Log'!K24=""),"",IF(TRIM('Actual Game'!K24&amp;"")=TRIM('App Log'!K24&amp;""),"MATCH","DIFF"))</f>
      </c>
      <c r="AC24" s="5">
        <f>IF(AND('Actual Game'!A24="",'App Log'!A24=""),"",IF(COUNTIF(D24:AB24,"DIFF")=0,"MATCH","CHECK"))</f>
      </c>
    </row>
    <row r="25" ht="19" customHeight="1">
      <c r="A25" s="5"/>
      <c r="B25" s="5">
        <f>IF('Actual Game'!B25="","",'Actual Game'!B25)</f>
      </c>
      <c r="C25" s="5">
        <f>IF('App Log'!B25="","",'App Log'!B25)</f>
      </c>
      <c r="D25" s="5">
        <f>IF(AND('Actual Game'!B25="",'App Log'!B25=""),"",IF(TRIM('Actual Game'!B25&amp;"")=TRIM('App Log'!B25&amp;""),"MATCH","DIFF"))</f>
      </c>
      <c r="E25" s="5">
        <f>IF('Actual Game'!C25="","",'Actual Game'!C25)</f>
      </c>
      <c r="F25" s="5">
        <f>IF('App Log'!C25="","",'App Log'!C25)</f>
      </c>
      <c r="G25" s="5">
        <f>IF(AND('Actual Game'!C25="",'App Log'!C25=""),"",IF(TRIM('Actual Game'!C25&amp;"")=TRIM('App Log'!C25&amp;""),"MATCH","DIFF"))</f>
      </c>
      <c r="H25" s="5">
        <f>IF('Actual Game'!D25="","",'Actual Game'!D25)</f>
      </c>
      <c r="I25" s="5">
        <f>IF('App Log'!D25="","",'App Log'!D25)</f>
      </c>
      <c r="J25" s="5">
        <f>IF(AND('Actual Game'!D25="",'App Log'!D25=""),"",IF(TRIM('Actual Game'!D25&amp;"")=TRIM('App Log'!D25&amp;""),"MATCH","DIFF"))</f>
      </c>
      <c r="K25" s="5">
        <f>IF('Actual Game'!E25="","",'Actual Game'!E25)</f>
      </c>
      <c r="L25" s="5">
        <f>IF('App Log'!E25="","",'App Log'!E25)</f>
      </c>
      <c r="M25" s="5">
        <f>IF(AND('Actual Game'!E25="",'App Log'!E25=""),"",IF(TRIM('Actual Game'!E25&amp;"")=TRIM('App Log'!E25&amp;""),"MATCH","DIFF"))</f>
      </c>
      <c r="N25" s="5">
        <f>IF('Actual Game'!F25="","",'Actual Game'!F25)</f>
      </c>
      <c r="O25" s="5">
        <f>IF('App Log'!F25="","",'App Log'!F25)</f>
      </c>
      <c r="P25" s="5">
        <f>IF(AND('Actual Game'!F25="",'App Log'!F25=""),"",IF(TRIM('Actual Game'!F25&amp;"")=TRIM('App Log'!F25&amp;""),"MATCH","DIFF"))</f>
      </c>
      <c r="Q25" s="5">
        <f>IF('Actual Game'!I25="","",'Actual Game'!I25)</f>
      </c>
      <c r="R25" s="5">
        <f>IF('App Log'!I25="","",'App Log'!I25)</f>
      </c>
      <c r="S25" s="5">
        <f>IF(AND('Actual Game'!I25="",'App Log'!I25=""),"",IF(TRIM('Actual Game'!I25&amp;"")=TRIM('App Log'!I25&amp;""),"MATCH","DIFF"))</f>
      </c>
      <c r="T25" s="5">
        <f>IF('Actual Game'!H25="","",'Actual Game'!H25)</f>
      </c>
      <c r="U25" s="5">
        <f>IF('App Log'!H25="","",'App Log'!H25)</f>
      </c>
      <c r="V25" s="5">
        <f>IF(AND('Actual Game'!H25="",'App Log'!H25=""),"",IF(TRIM('Actual Game'!H25&amp;"")=TRIM('App Log'!H25&amp;""),"MATCH","DIFF"))</f>
      </c>
      <c r="W25" s="5">
        <f>IF('Actual Game'!J25="","",'Actual Game'!J25)</f>
      </c>
      <c r="X25" s="5">
        <f>IF('App Log'!J25="","",'App Log'!J25)</f>
      </c>
      <c r="Y25" s="5">
        <f>IF(AND('Actual Game'!J25="",'App Log'!J25=""),"",IF(TRIM('Actual Game'!J25&amp;"")=TRIM('App Log'!J25&amp;""),"MATCH","DIFF"))</f>
      </c>
      <c r="Z25" s="5">
        <f>IF('Actual Game'!K25="","",'Actual Game'!K25)</f>
      </c>
      <c r="AA25" s="5">
        <f>IF('App Log'!K25="","",'App Log'!K25)</f>
      </c>
      <c r="AB25" s="5">
        <f>IF(AND('Actual Game'!K25="",'App Log'!K25=""),"",IF(TRIM('Actual Game'!K25&amp;"")=TRIM('App Log'!K25&amp;""),"MATCH","DIFF"))</f>
      </c>
      <c r="AC25" s="5">
        <f>IF(AND('Actual Game'!A25="",'App Log'!A25=""),"",IF(COUNTIF(D25:AB25,"DIFF")=0,"MATCH","CHECK"))</f>
      </c>
    </row>
    <row r="26" ht="19" customHeight="1">
      <c r="A26" s="5"/>
      <c r="B26" s="5">
        <f>IF('Actual Game'!B26="","",'Actual Game'!B26)</f>
      </c>
      <c r="C26" s="5">
        <f>IF('App Log'!B26="","",'App Log'!B26)</f>
      </c>
      <c r="D26" s="5">
        <f>IF(AND('Actual Game'!B26="",'App Log'!B26=""),"",IF(TRIM('Actual Game'!B26&amp;"")=TRIM('App Log'!B26&amp;""),"MATCH","DIFF"))</f>
      </c>
      <c r="E26" s="5">
        <f>IF('Actual Game'!C26="","",'Actual Game'!C26)</f>
      </c>
      <c r="F26" s="5">
        <f>IF('App Log'!C26="","",'App Log'!C26)</f>
      </c>
      <c r="G26" s="5">
        <f>IF(AND('Actual Game'!C26="",'App Log'!C26=""),"",IF(TRIM('Actual Game'!C26&amp;"")=TRIM('App Log'!C26&amp;""),"MATCH","DIFF"))</f>
      </c>
      <c r="H26" s="5">
        <f>IF('Actual Game'!D26="","",'Actual Game'!D26)</f>
      </c>
      <c r="I26" s="5">
        <f>IF('App Log'!D26="","",'App Log'!D26)</f>
      </c>
      <c r="J26" s="5">
        <f>IF(AND('Actual Game'!D26="",'App Log'!D26=""),"",IF(TRIM('Actual Game'!D26&amp;"")=TRIM('App Log'!D26&amp;""),"MATCH","DIFF"))</f>
      </c>
      <c r="K26" s="5">
        <f>IF('Actual Game'!E26="","",'Actual Game'!E26)</f>
      </c>
      <c r="L26" s="5">
        <f>IF('App Log'!E26="","",'App Log'!E26)</f>
      </c>
      <c r="M26" s="5">
        <f>IF(AND('Actual Game'!E26="",'App Log'!E26=""),"",IF(TRIM('Actual Game'!E26&amp;"")=TRIM('App Log'!E26&amp;""),"MATCH","DIFF"))</f>
      </c>
      <c r="N26" s="5">
        <f>IF('Actual Game'!F26="","",'Actual Game'!F26)</f>
      </c>
      <c r="O26" s="5">
        <f>IF('App Log'!F26="","",'App Log'!F26)</f>
      </c>
      <c r="P26" s="5">
        <f>IF(AND('Actual Game'!F26="",'App Log'!F26=""),"",IF(TRIM('Actual Game'!F26&amp;"")=TRIM('App Log'!F26&amp;""),"MATCH","DIFF"))</f>
      </c>
      <c r="Q26" s="5">
        <f>IF('Actual Game'!I26="","",'Actual Game'!I26)</f>
      </c>
      <c r="R26" s="5">
        <f>IF('App Log'!I26="","",'App Log'!I26)</f>
      </c>
      <c r="S26" s="5">
        <f>IF(AND('Actual Game'!I26="",'App Log'!I26=""),"",IF(TRIM('Actual Game'!I26&amp;"")=TRIM('App Log'!I26&amp;""),"MATCH","DIFF"))</f>
      </c>
      <c r="T26" s="5">
        <f>IF('Actual Game'!H26="","",'Actual Game'!H26)</f>
      </c>
      <c r="U26" s="5">
        <f>IF('App Log'!H26="","",'App Log'!H26)</f>
      </c>
      <c r="V26" s="5">
        <f>IF(AND('Actual Game'!H26="",'App Log'!H26=""),"",IF(TRIM('Actual Game'!H26&amp;"")=TRIM('App Log'!H26&amp;""),"MATCH","DIFF"))</f>
      </c>
      <c r="W26" s="5">
        <f>IF('Actual Game'!J26="","",'Actual Game'!J26)</f>
      </c>
      <c r="X26" s="5">
        <f>IF('App Log'!J26="","",'App Log'!J26)</f>
      </c>
      <c r="Y26" s="5">
        <f>IF(AND('Actual Game'!J26="",'App Log'!J26=""),"",IF(TRIM('Actual Game'!J26&amp;"")=TRIM('App Log'!J26&amp;""),"MATCH","DIFF"))</f>
      </c>
      <c r="Z26" s="5">
        <f>IF('Actual Game'!K26="","",'Actual Game'!K26)</f>
      </c>
      <c r="AA26" s="5">
        <f>IF('App Log'!K26="","",'App Log'!K26)</f>
      </c>
      <c r="AB26" s="5">
        <f>IF(AND('Actual Game'!K26="",'App Log'!K26=""),"",IF(TRIM('Actual Game'!K26&amp;"")=TRIM('App Log'!K26&amp;""),"MATCH","DIFF"))</f>
      </c>
      <c r="AC26" s="5">
        <f>IF(AND('Actual Game'!A26="",'App Log'!A26=""),"",IF(COUNTIF(D26:AB26,"DIFF")=0,"MATCH","CHECK"))</f>
      </c>
    </row>
    <row r="27" ht="19" customHeight="1">
      <c r="A27" s="5"/>
      <c r="B27" s="5">
        <f>IF('Actual Game'!B27="","",'Actual Game'!B27)</f>
      </c>
      <c r="C27" s="5">
        <f>IF('App Log'!B27="","",'App Log'!B27)</f>
      </c>
      <c r="D27" s="5">
        <f>IF(AND('Actual Game'!B27="",'App Log'!B27=""),"",IF(TRIM('Actual Game'!B27&amp;"")=TRIM('App Log'!B27&amp;""),"MATCH","DIFF"))</f>
      </c>
      <c r="E27" s="5">
        <f>IF('Actual Game'!C27="","",'Actual Game'!C27)</f>
      </c>
      <c r="F27" s="5">
        <f>IF('App Log'!C27="","",'App Log'!C27)</f>
      </c>
      <c r="G27" s="5">
        <f>IF(AND('Actual Game'!C27="",'App Log'!C27=""),"",IF(TRIM('Actual Game'!C27&amp;"")=TRIM('App Log'!C27&amp;""),"MATCH","DIFF"))</f>
      </c>
      <c r="H27" s="5">
        <f>IF('Actual Game'!D27="","",'Actual Game'!D27)</f>
      </c>
      <c r="I27" s="5">
        <f>IF('App Log'!D27="","",'App Log'!D27)</f>
      </c>
      <c r="J27" s="5">
        <f>IF(AND('Actual Game'!D27="",'App Log'!D27=""),"",IF(TRIM('Actual Game'!D27&amp;"")=TRIM('App Log'!D27&amp;""),"MATCH","DIFF"))</f>
      </c>
      <c r="K27" s="5">
        <f>IF('Actual Game'!E27="","",'Actual Game'!E27)</f>
      </c>
      <c r="L27" s="5">
        <f>IF('App Log'!E27="","",'App Log'!E27)</f>
      </c>
      <c r="M27" s="5">
        <f>IF(AND('Actual Game'!E27="",'App Log'!E27=""),"",IF(TRIM('Actual Game'!E27&amp;"")=TRIM('App Log'!E27&amp;""),"MATCH","DIFF"))</f>
      </c>
      <c r="N27" s="5">
        <f>IF('Actual Game'!F27="","",'Actual Game'!F27)</f>
      </c>
      <c r="O27" s="5">
        <f>IF('App Log'!F27="","",'App Log'!F27)</f>
      </c>
      <c r="P27" s="5">
        <f>IF(AND('Actual Game'!F27="",'App Log'!F27=""),"",IF(TRIM('Actual Game'!F27&amp;"")=TRIM('App Log'!F27&amp;""),"MATCH","DIFF"))</f>
      </c>
      <c r="Q27" s="5">
        <f>IF('Actual Game'!I27="","",'Actual Game'!I27)</f>
      </c>
      <c r="R27" s="5">
        <f>IF('App Log'!I27="","",'App Log'!I27)</f>
      </c>
      <c r="S27" s="5">
        <f>IF(AND('Actual Game'!I27="",'App Log'!I27=""),"",IF(TRIM('Actual Game'!I27&amp;"")=TRIM('App Log'!I27&amp;""),"MATCH","DIFF"))</f>
      </c>
      <c r="T27" s="5">
        <f>IF('Actual Game'!H27="","",'Actual Game'!H27)</f>
      </c>
      <c r="U27" s="5">
        <f>IF('App Log'!H27="","",'App Log'!H27)</f>
      </c>
      <c r="V27" s="5">
        <f>IF(AND('Actual Game'!H27="",'App Log'!H27=""),"",IF(TRIM('Actual Game'!H27&amp;"")=TRIM('App Log'!H27&amp;""),"MATCH","DIFF"))</f>
      </c>
      <c r="W27" s="5">
        <f>IF('Actual Game'!J27="","",'Actual Game'!J27)</f>
      </c>
      <c r="X27" s="5">
        <f>IF('App Log'!J27="","",'App Log'!J27)</f>
      </c>
      <c r="Y27" s="5">
        <f>IF(AND('Actual Game'!J27="",'App Log'!J27=""),"",IF(TRIM('Actual Game'!J27&amp;"")=TRIM('App Log'!J27&amp;""),"MATCH","DIFF"))</f>
      </c>
      <c r="Z27" s="5">
        <f>IF('Actual Game'!K27="","",'Actual Game'!K27)</f>
      </c>
      <c r="AA27" s="5">
        <f>IF('App Log'!K27="","",'App Log'!K27)</f>
      </c>
      <c r="AB27" s="5">
        <f>IF(AND('Actual Game'!K27="",'App Log'!K27=""),"",IF(TRIM('Actual Game'!K27&amp;"")=TRIM('App Log'!K27&amp;""),"MATCH","DIFF"))</f>
      </c>
      <c r="AC27" s="5">
        <f>IF(AND('Actual Game'!A27="",'App Log'!A27=""),"",IF(COUNTIF(D27:AB27,"DIFF")=0,"MATCH","CHECK"))</f>
      </c>
    </row>
    <row r="28" ht="19" customHeight="1">
      <c r="A28" s="5"/>
      <c r="B28" s="5">
        <f>IF('Actual Game'!B28="","",'Actual Game'!B28)</f>
      </c>
      <c r="C28" s="5">
        <f>IF('App Log'!B28="","",'App Log'!B28)</f>
      </c>
      <c r="D28" s="5">
        <f>IF(AND('Actual Game'!B28="",'App Log'!B28=""),"",IF(TRIM('Actual Game'!B28&amp;"")=TRIM('App Log'!B28&amp;""),"MATCH","DIFF"))</f>
      </c>
      <c r="E28" s="5">
        <f>IF('Actual Game'!C28="","",'Actual Game'!C28)</f>
      </c>
      <c r="F28" s="5">
        <f>IF('App Log'!C28="","",'App Log'!C28)</f>
      </c>
      <c r="G28" s="5">
        <f>IF(AND('Actual Game'!C28="",'App Log'!C28=""),"",IF(TRIM('Actual Game'!C28&amp;"")=TRIM('App Log'!C28&amp;""),"MATCH","DIFF"))</f>
      </c>
      <c r="H28" s="5">
        <f>IF('Actual Game'!D28="","",'Actual Game'!D28)</f>
      </c>
      <c r="I28" s="5">
        <f>IF('App Log'!D28="","",'App Log'!D28)</f>
      </c>
      <c r="J28" s="5">
        <f>IF(AND('Actual Game'!D28="",'App Log'!D28=""),"",IF(TRIM('Actual Game'!D28&amp;"")=TRIM('App Log'!D28&amp;""),"MATCH","DIFF"))</f>
      </c>
      <c r="K28" s="5">
        <f>IF('Actual Game'!E28="","",'Actual Game'!E28)</f>
      </c>
      <c r="L28" s="5">
        <f>IF('App Log'!E28="","",'App Log'!E28)</f>
      </c>
      <c r="M28" s="5">
        <f>IF(AND('Actual Game'!E28="",'App Log'!E28=""),"",IF(TRIM('Actual Game'!E28&amp;"")=TRIM('App Log'!E28&amp;""),"MATCH","DIFF"))</f>
      </c>
      <c r="N28" s="5">
        <f>IF('Actual Game'!F28="","",'Actual Game'!F28)</f>
      </c>
      <c r="O28" s="5">
        <f>IF('App Log'!F28="","",'App Log'!F28)</f>
      </c>
      <c r="P28" s="5">
        <f>IF(AND('Actual Game'!F28="",'App Log'!F28=""),"",IF(TRIM('Actual Game'!F28&amp;"")=TRIM('App Log'!F28&amp;""),"MATCH","DIFF"))</f>
      </c>
      <c r="Q28" s="5">
        <f>IF('Actual Game'!I28="","",'Actual Game'!I28)</f>
      </c>
      <c r="R28" s="5">
        <f>IF('App Log'!I28="","",'App Log'!I28)</f>
      </c>
      <c r="S28" s="5">
        <f>IF(AND('Actual Game'!I28="",'App Log'!I28=""),"",IF(TRIM('Actual Game'!I28&amp;"")=TRIM('App Log'!I28&amp;""),"MATCH","DIFF"))</f>
      </c>
      <c r="T28" s="5">
        <f>IF('Actual Game'!H28="","",'Actual Game'!H28)</f>
      </c>
      <c r="U28" s="5">
        <f>IF('App Log'!H28="","",'App Log'!H28)</f>
      </c>
      <c r="V28" s="5">
        <f>IF(AND('Actual Game'!H28="",'App Log'!H28=""),"",IF(TRIM('Actual Game'!H28&amp;"")=TRIM('App Log'!H28&amp;""),"MATCH","DIFF"))</f>
      </c>
      <c r="W28" s="5">
        <f>IF('Actual Game'!J28="","",'Actual Game'!J28)</f>
      </c>
      <c r="X28" s="5">
        <f>IF('App Log'!J28="","",'App Log'!J28)</f>
      </c>
      <c r="Y28" s="5">
        <f>IF(AND('Actual Game'!J28="",'App Log'!J28=""),"",IF(TRIM('Actual Game'!J28&amp;"")=TRIM('App Log'!J28&amp;""),"MATCH","DIFF"))</f>
      </c>
      <c r="Z28" s="5">
        <f>IF('Actual Game'!K28="","",'Actual Game'!K28)</f>
      </c>
      <c r="AA28" s="5">
        <f>IF('App Log'!K28="","",'App Log'!K28)</f>
      </c>
      <c r="AB28" s="5">
        <f>IF(AND('Actual Game'!K28="",'App Log'!K28=""),"",IF(TRIM('Actual Game'!K28&amp;"")=TRIM('App Log'!K28&amp;""),"MATCH","DIFF"))</f>
      </c>
      <c r="AC28" s="5">
        <f>IF(AND('Actual Game'!A28="",'App Log'!A28=""),"",IF(COUNTIF(D28:AB28,"DIFF")=0,"MATCH","CHECK"))</f>
      </c>
    </row>
    <row r="29" ht="19" customHeight="1">
      <c r="A29" s="5"/>
      <c r="B29" s="5">
        <f>IF('Actual Game'!B29="","",'Actual Game'!B29)</f>
      </c>
      <c r="C29" s="5">
        <f>IF('App Log'!B29="","",'App Log'!B29)</f>
      </c>
      <c r="D29" s="5">
        <f>IF(AND('Actual Game'!B29="",'App Log'!B29=""),"",IF(TRIM('Actual Game'!B29&amp;"")=TRIM('App Log'!B29&amp;""),"MATCH","DIFF"))</f>
      </c>
      <c r="E29" s="5">
        <f>IF('Actual Game'!C29="","",'Actual Game'!C29)</f>
      </c>
      <c r="F29" s="5">
        <f>IF('App Log'!C29="","",'App Log'!C29)</f>
      </c>
      <c r="G29" s="5">
        <f>IF(AND('Actual Game'!C29="",'App Log'!C29=""),"",IF(TRIM('Actual Game'!C29&amp;"")=TRIM('App Log'!C29&amp;""),"MATCH","DIFF"))</f>
      </c>
      <c r="H29" s="5">
        <f>IF('Actual Game'!D29="","",'Actual Game'!D29)</f>
      </c>
      <c r="I29" s="5">
        <f>IF('App Log'!D29="","",'App Log'!D29)</f>
      </c>
      <c r="J29" s="5">
        <f>IF(AND('Actual Game'!D29="",'App Log'!D29=""),"",IF(TRIM('Actual Game'!D29&amp;"")=TRIM('App Log'!D29&amp;""),"MATCH","DIFF"))</f>
      </c>
      <c r="K29" s="5">
        <f>IF('Actual Game'!E29="","",'Actual Game'!E29)</f>
      </c>
      <c r="L29" s="5">
        <f>IF('App Log'!E29="","",'App Log'!E29)</f>
      </c>
      <c r="M29" s="5">
        <f>IF(AND('Actual Game'!E29="",'App Log'!E29=""),"",IF(TRIM('Actual Game'!E29&amp;"")=TRIM('App Log'!E29&amp;""),"MATCH","DIFF"))</f>
      </c>
      <c r="N29" s="5">
        <f>IF('Actual Game'!F29="","",'Actual Game'!F29)</f>
      </c>
      <c r="O29" s="5">
        <f>IF('App Log'!F29="","",'App Log'!F29)</f>
      </c>
      <c r="P29" s="5">
        <f>IF(AND('Actual Game'!F29="",'App Log'!F29=""),"",IF(TRIM('Actual Game'!F29&amp;"")=TRIM('App Log'!F29&amp;""),"MATCH","DIFF"))</f>
      </c>
      <c r="Q29" s="5">
        <f>IF('Actual Game'!I29="","",'Actual Game'!I29)</f>
      </c>
      <c r="R29" s="5">
        <f>IF('App Log'!I29="","",'App Log'!I29)</f>
      </c>
      <c r="S29" s="5">
        <f>IF(AND('Actual Game'!I29="",'App Log'!I29=""),"",IF(TRIM('Actual Game'!I29&amp;"")=TRIM('App Log'!I29&amp;""),"MATCH","DIFF"))</f>
      </c>
      <c r="T29" s="5">
        <f>IF('Actual Game'!H29="","",'Actual Game'!H29)</f>
      </c>
      <c r="U29" s="5">
        <f>IF('App Log'!H29="","",'App Log'!H29)</f>
      </c>
      <c r="V29" s="5">
        <f>IF(AND('Actual Game'!H29="",'App Log'!H29=""),"",IF(TRIM('Actual Game'!H29&amp;"")=TRIM('App Log'!H29&amp;""),"MATCH","DIFF"))</f>
      </c>
      <c r="W29" s="5">
        <f>IF('Actual Game'!J29="","",'Actual Game'!J29)</f>
      </c>
      <c r="X29" s="5">
        <f>IF('App Log'!J29="","",'App Log'!J29)</f>
      </c>
      <c r="Y29" s="5">
        <f>IF(AND('Actual Game'!J29="",'App Log'!J29=""),"",IF(TRIM('Actual Game'!J29&amp;"")=TRIM('App Log'!J29&amp;""),"MATCH","DIFF"))</f>
      </c>
      <c r="Z29" s="5">
        <f>IF('Actual Game'!K29="","",'Actual Game'!K29)</f>
      </c>
      <c r="AA29" s="5">
        <f>IF('App Log'!K29="","",'App Log'!K29)</f>
      </c>
      <c r="AB29" s="5">
        <f>IF(AND('Actual Game'!K29="",'App Log'!K29=""),"",IF(TRIM('Actual Game'!K29&amp;"")=TRIM('App Log'!K29&amp;""),"MATCH","DIFF"))</f>
      </c>
      <c r="AC29" s="5">
        <f>IF(AND('Actual Game'!A29="",'App Log'!A29=""),"",IF(COUNTIF(D29:AB29,"DIFF")=0,"MATCH","CHECK"))</f>
      </c>
    </row>
    <row r="30" ht="19" customHeight="1">
      <c r="A30" s="5"/>
      <c r="B30" s="5">
        <f>IF('Actual Game'!B30="","",'Actual Game'!B30)</f>
      </c>
      <c r="C30" s="5">
        <f>IF('App Log'!B30="","",'App Log'!B30)</f>
      </c>
      <c r="D30" s="5">
        <f>IF(AND('Actual Game'!B30="",'App Log'!B30=""),"",IF(TRIM('Actual Game'!B30&amp;"")=TRIM('App Log'!B30&amp;""),"MATCH","DIFF"))</f>
      </c>
      <c r="E30" s="5">
        <f>IF('Actual Game'!C30="","",'Actual Game'!C30)</f>
      </c>
      <c r="F30" s="5">
        <f>IF('App Log'!C30="","",'App Log'!C30)</f>
      </c>
      <c r="G30" s="5">
        <f>IF(AND('Actual Game'!C30="",'App Log'!C30=""),"",IF(TRIM('Actual Game'!C30&amp;"")=TRIM('App Log'!C30&amp;""),"MATCH","DIFF"))</f>
      </c>
      <c r="H30" s="5">
        <f>IF('Actual Game'!D30="","",'Actual Game'!D30)</f>
      </c>
      <c r="I30" s="5">
        <f>IF('App Log'!D30="","",'App Log'!D30)</f>
      </c>
      <c r="J30" s="5">
        <f>IF(AND('Actual Game'!D30="",'App Log'!D30=""),"",IF(TRIM('Actual Game'!D30&amp;"")=TRIM('App Log'!D30&amp;""),"MATCH","DIFF"))</f>
      </c>
      <c r="K30" s="5">
        <f>IF('Actual Game'!E30="","",'Actual Game'!E30)</f>
      </c>
      <c r="L30" s="5">
        <f>IF('App Log'!E30="","",'App Log'!E30)</f>
      </c>
      <c r="M30" s="5">
        <f>IF(AND('Actual Game'!E30="",'App Log'!E30=""),"",IF(TRIM('Actual Game'!E30&amp;"")=TRIM('App Log'!E30&amp;""),"MATCH","DIFF"))</f>
      </c>
      <c r="N30" s="5">
        <f>IF('Actual Game'!F30="","",'Actual Game'!F30)</f>
      </c>
      <c r="O30" s="5">
        <f>IF('App Log'!F30="","",'App Log'!F30)</f>
      </c>
      <c r="P30" s="5">
        <f>IF(AND('Actual Game'!F30="",'App Log'!F30=""),"",IF(TRIM('Actual Game'!F30&amp;"")=TRIM('App Log'!F30&amp;""),"MATCH","DIFF"))</f>
      </c>
      <c r="Q30" s="5">
        <f>IF('Actual Game'!I30="","",'Actual Game'!I30)</f>
      </c>
      <c r="R30" s="5">
        <f>IF('App Log'!I30="","",'App Log'!I30)</f>
      </c>
      <c r="S30" s="5">
        <f>IF(AND('Actual Game'!I30="",'App Log'!I30=""),"",IF(TRIM('Actual Game'!I30&amp;"")=TRIM('App Log'!I30&amp;""),"MATCH","DIFF"))</f>
      </c>
      <c r="T30" s="5">
        <f>IF('Actual Game'!H30="","",'Actual Game'!H30)</f>
      </c>
      <c r="U30" s="5">
        <f>IF('App Log'!H30="","",'App Log'!H30)</f>
      </c>
      <c r="V30" s="5">
        <f>IF(AND('Actual Game'!H30="",'App Log'!H30=""),"",IF(TRIM('Actual Game'!H30&amp;"")=TRIM('App Log'!H30&amp;""),"MATCH","DIFF"))</f>
      </c>
      <c r="W30" s="5">
        <f>IF('Actual Game'!J30="","",'Actual Game'!J30)</f>
      </c>
      <c r="X30" s="5">
        <f>IF('App Log'!J30="","",'App Log'!J30)</f>
      </c>
      <c r="Y30" s="5">
        <f>IF(AND('Actual Game'!J30="",'App Log'!J30=""),"",IF(TRIM('Actual Game'!J30&amp;"")=TRIM('App Log'!J30&amp;""),"MATCH","DIFF"))</f>
      </c>
      <c r="Z30" s="5">
        <f>IF('Actual Game'!K30="","",'Actual Game'!K30)</f>
      </c>
      <c r="AA30" s="5">
        <f>IF('App Log'!K30="","",'App Log'!K30)</f>
      </c>
      <c r="AB30" s="5">
        <f>IF(AND('Actual Game'!K30="",'App Log'!K30=""),"",IF(TRIM('Actual Game'!K30&amp;"")=TRIM('App Log'!K30&amp;""),"MATCH","DIFF"))</f>
      </c>
      <c r="AC30" s="5">
        <f>IF(AND('Actual Game'!A30="",'App Log'!A30=""),"",IF(COUNTIF(D30:AB30,"DIFF")=0,"MATCH","CHECK"))</f>
      </c>
    </row>
    <row r="31" ht="19" customHeight="1">
      <c r="A31" s="5"/>
      <c r="B31" s="5">
        <f>IF('Actual Game'!B31="","",'Actual Game'!B31)</f>
      </c>
      <c r="C31" s="5">
        <f>IF('App Log'!B31="","",'App Log'!B31)</f>
      </c>
      <c r="D31" s="5">
        <f>IF(AND('Actual Game'!B31="",'App Log'!B31=""),"",IF(TRIM('Actual Game'!B31&amp;"")=TRIM('App Log'!B31&amp;""),"MATCH","DIFF"))</f>
      </c>
      <c r="E31" s="5">
        <f>IF('Actual Game'!C31="","",'Actual Game'!C31)</f>
      </c>
      <c r="F31" s="5">
        <f>IF('App Log'!C31="","",'App Log'!C31)</f>
      </c>
      <c r="G31" s="5">
        <f>IF(AND('Actual Game'!C31="",'App Log'!C31=""),"",IF(TRIM('Actual Game'!C31&amp;"")=TRIM('App Log'!C31&amp;""),"MATCH","DIFF"))</f>
      </c>
      <c r="H31" s="5">
        <f>IF('Actual Game'!D31="","",'Actual Game'!D31)</f>
      </c>
      <c r="I31" s="5">
        <f>IF('App Log'!D31="","",'App Log'!D31)</f>
      </c>
      <c r="J31" s="5">
        <f>IF(AND('Actual Game'!D31="",'App Log'!D31=""),"",IF(TRIM('Actual Game'!D31&amp;"")=TRIM('App Log'!D31&amp;""),"MATCH","DIFF"))</f>
      </c>
      <c r="K31" s="5">
        <f>IF('Actual Game'!E31="","",'Actual Game'!E31)</f>
      </c>
      <c r="L31" s="5">
        <f>IF('App Log'!E31="","",'App Log'!E31)</f>
      </c>
      <c r="M31" s="5">
        <f>IF(AND('Actual Game'!E31="",'App Log'!E31=""),"",IF(TRIM('Actual Game'!E31&amp;"")=TRIM('App Log'!E31&amp;""),"MATCH","DIFF"))</f>
      </c>
      <c r="N31" s="5">
        <f>IF('Actual Game'!F31="","",'Actual Game'!F31)</f>
      </c>
      <c r="O31" s="5">
        <f>IF('App Log'!F31="","",'App Log'!F31)</f>
      </c>
      <c r="P31" s="5">
        <f>IF(AND('Actual Game'!F31="",'App Log'!F31=""),"",IF(TRIM('Actual Game'!F31&amp;"")=TRIM('App Log'!F31&amp;""),"MATCH","DIFF"))</f>
      </c>
      <c r="Q31" s="5">
        <f>IF('Actual Game'!I31="","",'Actual Game'!I31)</f>
      </c>
      <c r="R31" s="5">
        <f>IF('App Log'!I31="","",'App Log'!I31)</f>
      </c>
      <c r="S31" s="5">
        <f>IF(AND('Actual Game'!I31="",'App Log'!I31=""),"",IF(TRIM('Actual Game'!I31&amp;"")=TRIM('App Log'!I31&amp;""),"MATCH","DIFF"))</f>
      </c>
      <c r="T31" s="5">
        <f>IF('Actual Game'!H31="","",'Actual Game'!H31)</f>
      </c>
      <c r="U31" s="5">
        <f>IF('App Log'!H31="","",'App Log'!H31)</f>
      </c>
      <c r="V31" s="5">
        <f>IF(AND('Actual Game'!H31="",'App Log'!H31=""),"",IF(TRIM('Actual Game'!H31&amp;"")=TRIM('App Log'!H31&amp;""),"MATCH","DIFF"))</f>
      </c>
      <c r="W31" s="5">
        <f>IF('Actual Game'!J31="","",'Actual Game'!J31)</f>
      </c>
      <c r="X31" s="5">
        <f>IF('App Log'!J31="","",'App Log'!J31)</f>
      </c>
      <c r="Y31" s="5">
        <f>IF(AND('Actual Game'!J31="",'App Log'!J31=""),"",IF(TRIM('Actual Game'!J31&amp;"")=TRIM('App Log'!J31&amp;""),"MATCH","DIFF"))</f>
      </c>
      <c r="Z31" s="5">
        <f>IF('Actual Game'!K31="","",'Actual Game'!K31)</f>
      </c>
      <c r="AA31" s="5">
        <f>IF('App Log'!K31="","",'App Log'!K31)</f>
      </c>
      <c r="AB31" s="5">
        <f>IF(AND('Actual Game'!K31="",'App Log'!K31=""),"",IF(TRIM('Actual Game'!K31&amp;"")=TRIM('App Log'!K31&amp;""),"MATCH","DIFF"))</f>
      </c>
      <c r="AC31" s="5">
        <f>IF(AND('Actual Game'!A31="",'App Log'!A31=""),"",IF(COUNTIF(D31:AB31,"DIFF")=0,"MATCH","CHECK"))</f>
      </c>
    </row>
    <row r="32" ht="19" customHeight="1">
      <c r="A32" s="5"/>
      <c r="B32" s="5">
        <f>IF('Actual Game'!B32="","",'Actual Game'!B32)</f>
      </c>
      <c r="C32" s="5">
        <f>IF('App Log'!B32="","",'App Log'!B32)</f>
      </c>
      <c r="D32" s="5">
        <f>IF(AND('Actual Game'!B32="",'App Log'!B32=""),"",IF(TRIM('Actual Game'!B32&amp;"")=TRIM('App Log'!B32&amp;""),"MATCH","DIFF"))</f>
      </c>
      <c r="E32" s="5">
        <f>IF('Actual Game'!C32="","",'Actual Game'!C32)</f>
      </c>
      <c r="F32" s="5">
        <f>IF('App Log'!C32="","",'App Log'!C32)</f>
      </c>
      <c r="G32" s="5">
        <f>IF(AND('Actual Game'!C32="",'App Log'!C32=""),"",IF(TRIM('Actual Game'!C32&amp;"")=TRIM('App Log'!C32&amp;""),"MATCH","DIFF"))</f>
      </c>
      <c r="H32" s="5">
        <f>IF('Actual Game'!D32="","",'Actual Game'!D32)</f>
      </c>
      <c r="I32" s="5">
        <f>IF('App Log'!D32="","",'App Log'!D32)</f>
      </c>
      <c r="J32" s="5">
        <f>IF(AND('Actual Game'!D32="",'App Log'!D32=""),"",IF(TRIM('Actual Game'!D32&amp;"")=TRIM('App Log'!D32&amp;""),"MATCH","DIFF"))</f>
      </c>
      <c r="K32" s="5">
        <f>IF('Actual Game'!E32="","",'Actual Game'!E32)</f>
      </c>
      <c r="L32" s="5">
        <f>IF('App Log'!E32="","",'App Log'!E32)</f>
      </c>
      <c r="M32" s="5">
        <f>IF(AND('Actual Game'!E32="",'App Log'!E32=""),"",IF(TRIM('Actual Game'!E32&amp;"")=TRIM('App Log'!E32&amp;""),"MATCH","DIFF"))</f>
      </c>
      <c r="N32" s="5">
        <f>IF('Actual Game'!F32="","",'Actual Game'!F32)</f>
      </c>
      <c r="O32" s="5">
        <f>IF('App Log'!F32="","",'App Log'!F32)</f>
      </c>
      <c r="P32" s="5">
        <f>IF(AND('Actual Game'!F32="",'App Log'!F32=""),"",IF(TRIM('Actual Game'!F32&amp;"")=TRIM('App Log'!F32&amp;""),"MATCH","DIFF"))</f>
      </c>
      <c r="Q32" s="5">
        <f>IF('Actual Game'!I32="","",'Actual Game'!I32)</f>
      </c>
      <c r="R32" s="5">
        <f>IF('App Log'!I32="","",'App Log'!I32)</f>
      </c>
      <c r="S32" s="5">
        <f>IF(AND('Actual Game'!I32="",'App Log'!I32=""),"",IF(TRIM('Actual Game'!I32&amp;"")=TRIM('App Log'!I32&amp;""),"MATCH","DIFF"))</f>
      </c>
      <c r="T32" s="5">
        <f>IF('Actual Game'!H32="","",'Actual Game'!H32)</f>
      </c>
      <c r="U32" s="5">
        <f>IF('App Log'!H32="","",'App Log'!H32)</f>
      </c>
      <c r="V32" s="5">
        <f>IF(AND('Actual Game'!H32="",'App Log'!H32=""),"",IF(TRIM('Actual Game'!H32&amp;"")=TRIM('App Log'!H32&amp;""),"MATCH","DIFF"))</f>
      </c>
      <c r="W32" s="5">
        <f>IF('Actual Game'!J32="","",'Actual Game'!J32)</f>
      </c>
      <c r="X32" s="5">
        <f>IF('App Log'!J32="","",'App Log'!J32)</f>
      </c>
      <c r="Y32" s="5">
        <f>IF(AND('Actual Game'!J32="",'App Log'!J32=""),"",IF(TRIM('Actual Game'!J32&amp;"")=TRIM('App Log'!J32&amp;""),"MATCH","DIFF"))</f>
      </c>
      <c r="Z32" s="5">
        <f>IF('Actual Game'!K32="","",'Actual Game'!K32)</f>
      </c>
      <c r="AA32" s="5">
        <f>IF('App Log'!K32="","",'App Log'!K32)</f>
      </c>
      <c r="AB32" s="5">
        <f>IF(AND('Actual Game'!K32="",'App Log'!K32=""),"",IF(TRIM('Actual Game'!K32&amp;"")=TRIM('App Log'!K32&amp;""),"MATCH","DIFF"))</f>
      </c>
      <c r="AC32" s="5">
        <f>IF(AND('Actual Game'!A32="",'App Log'!A32=""),"",IF(COUNTIF(D32:AB32,"DIFF")=0,"MATCH","CHECK"))</f>
      </c>
    </row>
    <row r="33" ht="19" customHeight="1">
      <c r="A33" s="5"/>
      <c r="B33" s="5">
        <f>IF('Actual Game'!B33="","",'Actual Game'!B33)</f>
      </c>
      <c r="C33" s="5">
        <f>IF('App Log'!B33="","",'App Log'!B33)</f>
      </c>
      <c r="D33" s="5">
        <f>IF(AND('Actual Game'!B33="",'App Log'!B33=""),"",IF(TRIM('Actual Game'!B33&amp;"")=TRIM('App Log'!B33&amp;""),"MATCH","DIFF"))</f>
      </c>
      <c r="E33" s="5">
        <f>IF('Actual Game'!C33="","",'Actual Game'!C33)</f>
      </c>
      <c r="F33" s="5">
        <f>IF('App Log'!C33="","",'App Log'!C33)</f>
      </c>
      <c r="G33" s="5">
        <f>IF(AND('Actual Game'!C33="",'App Log'!C33=""),"",IF(TRIM('Actual Game'!C33&amp;"")=TRIM('App Log'!C33&amp;""),"MATCH","DIFF"))</f>
      </c>
      <c r="H33" s="5">
        <f>IF('Actual Game'!D33="","",'Actual Game'!D33)</f>
      </c>
      <c r="I33" s="5">
        <f>IF('App Log'!D33="","",'App Log'!D33)</f>
      </c>
      <c r="J33" s="5">
        <f>IF(AND('Actual Game'!D33="",'App Log'!D33=""),"",IF(TRIM('Actual Game'!D33&amp;"")=TRIM('App Log'!D33&amp;""),"MATCH","DIFF"))</f>
      </c>
      <c r="K33" s="5">
        <f>IF('Actual Game'!E33="","",'Actual Game'!E33)</f>
      </c>
      <c r="L33" s="5">
        <f>IF('App Log'!E33="","",'App Log'!E33)</f>
      </c>
      <c r="M33" s="5">
        <f>IF(AND('Actual Game'!E33="",'App Log'!E33=""),"",IF(TRIM('Actual Game'!E33&amp;"")=TRIM('App Log'!E33&amp;""),"MATCH","DIFF"))</f>
      </c>
      <c r="N33" s="5">
        <f>IF('Actual Game'!F33="","",'Actual Game'!F33)</f>
      </c>
      <c r="O33" s="5">
        <f>IF('App Log'!F33="","",'App Log'!F33)</f>
      </c>
      <c r="P33" s="5">
        <f>IF(AND('Actual Game'!F33="",'App Log'!F33=""),"",IF(TRIM('Actual Game'!F33&amp;"")=TRIM('App Log'!F33&amp;""),"MATCH","DIFF"))</f>
      </c>
      <c r="Q33" s="5">
        <f>IF('Actual Game'!I33="","",'Actual Game'!I33)</f>
      </c>
      <c r="R33" s="5">
        <f>IF('App Log'!I33="","",'App Log'!I33)</f>
      </c>
      <c r="S33" s="5">
        <f>IF(AND('Actual Game'!I33="",'App Log'!I33=""),"",IF(TRIM('Actual Game'!I33&amp;"")=TRIM('App Log'!I33&amp;""),"MATCH","DIFF"))</f>
      </c>
      <c r="T33" s="5">
        <f>IF('Actual Game'!H33="","",'Actual Game'!H33)</f>
      </c>
      <c r="U33" s="5">
        <f>IF('App Log'!H33="","",'App Log'!H33)</f>
      </c>
      <c r="V33" s="5">
        <f>IF(AND('Actual Game'!H33="",'App Log'!H33=""),"",IF(TRIM('Actual Game'!H33&amp;"")=TRIM('App Log'!H33&amp;""),"MATCH","DIFF"))</f>
      </c>
      <c r="W33" s="5">
        <f>IF('Actual Game'!J33="","",'Actual Game'!J33)</f>
      </c>
      <c r="X33" s="5">
        <f>IF('App Log'!J33="","",'App Log'!J33)</f>
      </c>
      <c r="Y33" s="5">
        <f>IF(AND('Actual Game'!J33="",'App Log'!J33=""),"",IF(TRIM('Actual Game'!J33&amp;"")=TRIM('App Log'!J33&amp;""),"MATCH","DIFF"))</f>
      </c>
      <c r="Z33" s="5">
        <f>IF('Actual Game'!K33="","",'Actual Game'!K33)</f>
      </c>
      <c r="AA33" s="5">
        <f>IF('App Log'!K33="","",'App Log'!K33)</f>
      </c>
      <c r="AB33" s="5">
        <f>IF(AND('Actual Game'!K33="",'App Log'!K33=""),"",IF(TRIM('Actual Game'!K33&amp;"")=TRIM('App Log'!K33&amp;""),"MATCH","DIFF"))</f>
      </c>
      <c r="AC33" s="5">
        <f>IF(AND('Actual Game'!A33="",'App Log'!A33=""),"",IF(COUNTIF(D33:AB33,"DIFF")=0,"MATCH","CHECK"))</f>
      </c>
    </row>
    <row r="34" ht="19" customHeight="1">
      <c r="A34" s="5"/>
      <c r="B34" s="5">
        <f>IF('Actual Game'!B34="","",'Actual Game'!B34)</f>
      </c>
      <c r="C34" s="5">
        <f>IF('App Log'!B34="","",'App Log'!B34)</f>
      </c>
      <c r="D34" s="5">
        <f>IF(AND('Actual Game'!B34="",'App Log'!B34=""),"",IF(TRIM('Actual Game'!B34&amp;"")=TRIM('App Log'!B34&amp;""),"MATCH","DIFF"))</f>
      </c>
      <c r="E34" s="5">
        <f>IF('Actual Game'!C34="","",'Actual Game'!C34)</f>
      </c>
      <c r="F34" s="5">
        <f>IF('App Log'!C34="","",'App Log'!C34)</f>
      </c>
      <c r="G34" s="5">
        <f>IF(AND('Actual Game'!C34="",'App Log'!C34=""),"",IF(TRIM('Actual Game'!C34&amp;"")=TRIM('App Log'!C34&amp;""),"MATCH","DIFF"))</f>
      </c>
      <c r="H34" s="5">
        <f>IF('Actual Game'!D34="","",'Actual Game'!D34)</f>
      </c>
      <c r="I34" s="5">
        <f>IF('App Log'!D34="","",'App Log'!D34)</f>
      </c>
      <c r="J34" s="5">
        <f>IF(AND('Actual Game'!D34="",'App Log'!D34=""),"",IF(TRIM('Actual Game'!D34&amp;"")=TRIM('App Log'!D34&amp;""),"MATCH","DIFF"))</f>
      </c>
      <c r="K34" s="5">
        <f>IF('Actual Game'!E34="","",'Actual Game'!E34)</f>
      </c>
      <c r="L34" s="5">
        <f>IF('App Log'!E34="","",'App Log'!E34)</f>
      </c>
      <c r="M34" s="5">
        <f>IF(AND('Actual Game'!E34="",'App Log'!E34=""),"",IF(TRIM('Actual Game'!E34&amp;"")=TRIM('App Log'!E34&amp;""),"MATCH","DIFF"))</f>
      </c>
      <c r="N34" s="5">
        <f>IF('Actual Game'!F34="","",'Actual Game'!F34)</f>
      </c>
      <c r="O34" s="5">
        <f>IF('App Log'!F34="","",'App Log'!F34)</f>
      </c>
      <c r="P34" s="5">
        <f>IF(AND('Actual Game'!F34="",'App Log'!F34=""),"",IF(TRIM('Actual Game'!F34&amp;"")=TRIM('App Log'!F34&amp;""),"MATCH","DIFF"))</f>
      </c>
      <c r="Q34" s="5">
        <f>IF('Actual Game'!I34="","",'Actual Game'!I34)</f>
      </c>
      <c r="R34" s="5">
        <f>IF('App Log'!I34="","",'App Log'!I34)</f>
      </c>
      <c r="S34" s="5">
        <f>IF(AND('Actual Game'!I34="",'App Log'!I34=""),"",IF(TRIM('Actual Game'!I34&amp;"")=TRIM('App Log'!I34&amp;""),"MATCH","DIFF"))</f>
      </c>
      <c r="T34" s="5">
        <f>IF('Actual Game'!H34="","",'Actual Game'!H34)</f>
      </c>
      <c r="U34" s="5">
        <f>IF('App Log'!H34="","",'App Log'!H34)</f>
      </c>
      <c r="V34" s="5">
        <f>IF(AND('Actual Game'!H34="",'App Log'!H34=""),"",IF(TRIM('Actual Game'!H34&amp;"")=TRIM('App Log'!H34&amp;""),"MATCH","DIFF"))</f>
      </c>
      <c r="W34" s="5">
        <f>IF('Actual Game'!J34="","",'Actual Game'!J34)</f>
      </c>
      <c r="X34" s="5">
        <f>IF('App Log'!J34="","",'App Log'!J34)</f>
      </c>
      <c r="Y34" s="5">
        <f>IF(AND('Actual Game'!J34="",'App Log'!J34=""),"",IF(TRIM('Actual Game'!J34&amp;"")=TRIM('App Log'!J34&amp;""),"MATCH","DIFF"))</f>
      </c>
      <c r="Z34" s="5">
        <f>IF('Actual Game'!K34="","",'Actual Game'!K34)</f>
      </c>
      <c r="AA34" s="5">
        <f>IF('App Log'!K34="","",'App Log'!K34)</f>
      </c>
      <c r="AB34" s="5">
        <f>IF(AND('Actual Game'!K34="",'App Log'!K34=""),"",IF(TRIM('Actual Game'!K34&amp;"")=TRIM('App Log'!K34&amp;""),"MATCH","DIFF"))</f>
      </c>
      <c r="AC34" s="5">
        <f>IF(AND('Actual Game'!A34="",'App Log'!A34=""),"",IF(COUNTIF(D34:AB34,"DIFF")=0,"MATCH","CHECK"))</f>
      </c>
    </row>
    <row r="35" ht="19" customHeight="1">
      <c r="A35" s="5"/>
      <c r="B35" s="5">
        <f>IF('Actual Game'!B35="","",'Actual Game'!B35)</f>
      </c>
      <c r="C35" s="5">
        <f>IF('App Log'!B35="","",'App Log'!B35)</f>
      </c>
      <c r="D35" s="5">
        <f>IF(AND('Actual Game'!B35="",'App Log'!B35=""),"",IF(TRIM('Actual Game'!B35&amp;"")=TRIM('App Log'!B35&amp;""),"MATCH","DIFF"))</f>
      </c>
      <c r="E35" s="5">
        <f>IF('Actual Game'!C35="","",'Actual Game'!C35)</f>
      </c>
      <c r="F35" s="5">
        <f>IF('App Log'!C35="","",'App Log'!C35)</f>
      </c>
      <c r="G35" s="5">
        <f>IF(AND('Actual Game'!C35="",'App Log'!C35=""),"",IF(TRIM('Actual Game'!C35&amp;"")=TRIM('App Log'!C35&amp;""),"MATCH","DIFF"))</f>
      </c>
      <c r="H35" s="5">
        <f>IF('Actual Game'!D35="","",'Actual Game'!D35)</f>
      </c>
      <c r="I35" s="5">
        <f>IF('App Log'!D35="","",'App Log'!D35)</f>
      </c>
      <c r="J35" s="5">
        <f>IF(AND('Actual Game'!D35="",'App Log'!D35=""),"",IF(TRIM('Actual Game'!D35&amp;"")=TRIM('App Log'!D35&amp;""),"MATCH","DIFF"))</f>
      </c>
      <c r="K35" s="5">
        <f>IF('Actual Game'!E35="","",'Actual Game'!E35)</f>
      </c>
      <c r="L35" s="5">
        <f>IF('App Log'!E35="","",'App Log'!E35)</f>
      </c>
      <c r="M35" s="5">
        <f>IF(AND('Actual Game'!E35="",'App Log'!E35=""),"",IF(TRIM('Actual Game'!E35&amp;"")=TRIM('App Log'!E35&amp;""),"MATCH","DIFF"))</f>
      </c>
      <c r="N35" s="5">
        <f>IF('Actual Game'!F35="","",'Actual Game'!F35)</f>
      </c>
      <c r="O35" s="5">
        <f>IF('App Log'!F35="","",'App Log'!F35)</f>
      </c>
      <c r="P35" s="5">
        <f>IF(AND('Actual Game'!F35="",'App Log'!F35=""),"",IF(TRIM('Actual Game'!F35&amp;"")=TRIM('App Log'!F35&amp;""),"MATCH","DIFF"))</f>
      </c>
      <c r="Q35" s="5">
        <f>IF('Actual Game'!I35="","",'Actual Game'!I35)</f>
      </c>
      <c r="R35" s="5">
        <f>IF('App Log'!I35="","",'App Log'!I35)</f>
      </c>
      <c r="S35" s="5">
        <f>IF(AND('Actual Game'!I35="",'App Log'!I35=""),"",IF(TRIM('Actual Game'!I35&amp;"")=TRIM('App Log'!I35&amp;""),"MATCH","DIFF"))</f>
      </c>
      <c r="T35" s="5">
        <f>IF('Actual Game'!H35="","",'Actual Game'!H35)</f>
      </c>
      <c r="U35" s="5">
        <f>IF('App Log'!H35="","",'App Log'!H35)</f>
      </c>
      <c r="V35" s="5">
        <f>IF(AND('Actual Game'!H35="",'App Log'!H35=""),"",IF(TRIM('Actual Game'!H35&amp;"")=TRIM('App Log'!H35&amp;""),"MATCH","DIFF"))</f>
      </c>
      <c r="W35" s="5">
        <f>IF('Actual Game'!J35="","",'Actual Game'!J35)</f>
      </c>
      <c r="X35" s="5">
        <f>IF('App Log'!J35="","",'App Log'!J35)</f>
      </c>
      <c r="Y35" s="5">
        <f>IF(AND('Actual Game'!J35="",'App Log'!J35=""),"",IF(TRIM('Actual Game'!J35&amp;"")=TRIM('App Log'!J35&amp;""),"MATCH","DIFF"))</f>
      </c>
      <c r="Z35" s="5">
        <f>IF('Actual Game'!K35="","",'Actual Game'!K35)</f>
      </c>
      <c r="AA35" s="5">
        <f>IF('App Log'!K35="","",'App Log'!K35)</f>
      </c>
      <c r="AB35" s="5">
        <f>IF(AND('Actual Game'!K35="",'App Log'!K35=""),"",IF(TRIM('Actual Game'!K35&amp;"")=TRIM('App Log'!K35&amp;""),"MATCH","DIFF"))</f>
      </c>
      <c r="AC35" s="5">
        <f>IF(AND('Actual Game'!A35="",'App Log'!A35=""),"",IF(COUNTIF(D35:AB35,"DIFF")=0,"MATCH","CHECK"))</f>
      </c>
    </row>
    <row r="36" ht="19" customHeight="1">
      <c r="A36" s="5"/>
      <c r="B36" s="5">
        <f>IF('Actual Game'!B36="","",'Actual Game'!B36)</f>
      </c>
      <c r="C36" s="5">
        <f>IF('App Log'!B36="","",'App Log'!B36)</f>
      </c>
      <c r="D36" s="5">
        <f>IF(AND('Actual Game'!B36="",'App Log'!B36=""),"",IF(TRIM('Actual Game'!B36&amp;"")=TRIM('App Log'!B36&amp;""),"MATCH","DIFF"))</f>
      </c>
      <c r="E36" s="5">
        <f>IF('Actual Game'!C36="","",'Actual Game'!C36)</f>
      </c>
      <c r="F36" s="5">
        <f>IF('App Log'!C36="","",'App Log'!C36)</f>
      </c>
      <c r="G36" s="5">
        <f>IF(AND('Actual Game'!C36="",'App Log'!C36=""),"",IF(TRIM('Actual Game'!C36&amp;"")=TRIM('App Log'!C36&amp;""),"MATCH","DIFF"))</f>
      </c>
      <c r="H36" s="5">
        <f>IF('Actual Game'!D36="","",'Actual Game'!D36)</f>
      </c>
      <c r="I36" s="5">
        <f>IF('App Log'!D36="","",'App Log'!D36)</f>
      </c>
      <c r="J36" s="5">
        <f>IF(AND('Actual Game'!D36="",'App Log'!D36=""),"",IF(TRIM('Actual Game'!D36&amp;"")=TRIM('App Log'!D36&amp;""),"MATCH","DIFF"))</f>
      </c>
      <c r="K36" s="5">
        <f>IF('Actual Game'!E36="","",'Actual Game'!E36)</f>
      </c>
      <c r="L36" s="5">
        <f>IF('App Log'!E36="","",'App Log'!E36)</f>
      </c>
      <c r="M36" s="5">
        <f>IF(AND('Actual Game'!E36="",'App Log'!E36=""),"",IF(TRIM('Actual Game'!E36&amp;"")=TRIM('App Log'!E36&amp;""),"MATCH","DIFF"))</f>
      </c>
      <c r="N36" s="5">
        <f>IF('Actual Game'!F36="","",'Actual Game'!F36)</f>
      </c>
      <c r="O36" s="5">
        <f>IF('App Log'!F36="","",'App Log'!F36)</f>
      </c>
      <c r="P36" s="5">
        <f>IF(AND('Actual Game'!F36="",'App Log'!F36=""),"",IF(TRIM('Actual Game'!F36&amp;"")=TRIM('App Log'!F36&amp;""),"MATCH","DIFF"))</f>
      </c>
      <c r="Q36" s="5">
        <f>IF('Actual Game'!I36="","",'Actual Game'!I36)</f>
      </c>
      <c r="R36" s="5">
        <f>IF('App Log'!I36="","",'App Log'!I36)</f>
      </c>
      <c r="S36" s="5">
        <f>IF(AND('Actual Game'!I36="",'App Log'!I36=""),"",IF(TRIM('Actual Game'!I36&amp;"")=TRIM('App Log'!I36&amp;""),"MATCH","DIFF"))</f>
      </c>
      <c r="T36" s="5">
        <f>IF('Actual Game'!H36="","",'Actual Game'!H36)</f>
      </c>
      <c r="U36" s="5">
        <f>IF('App Log'!H36="","",'App Log'!H36)</f>
      </c>
      <c r="V36" s="5">
        <f>IF(AND('Actual Game'!H36="",'App Log'!H36=""),"",IF(TRIM('Actual Game'!H36&amp;"")=TRIM('App Log'!H36&amp;""),"MATCH","DIFF"))</f>
      </c>
      <c r="W36" s="5">
        <f>IF('Actual Game'!J36="","",'Actual Game'!J36)</f>
      </c>
      <c r="X36" s="5">
        <f>IF('App Log'!J36="","",'App Log'!J36)</f>
      </c>
      <c r="Y36" s="5">
        <f>IF(AND('Actual Game'!J36="",'App Log'!J36=""),"",IF(TRIM('Actual Game'!J36&amp;"")=TRIM('App Log'!J36&amp;""),"MATCH","DIFF"))</f>
      </c>
      <c r="Z36" s="5">
        <f>IF('Actual Game'!K36="","",'Actual Game'!K36)</f>
      </c>
      <c r="AA36" s="5">
        <f>IF('App Log'!K36="","",'App Log'!K36)</f>
      </c>
      <c r="AB36" s="5">
        <f>IF(AND('Actual Game'!K36="",'App Log'!K36=""),"",IF(TRIM('Actual Game'!K36&amp;"")=TRIM('App Log'!K36&amp;""),"MATCH","DIFF"))</f>
      </c>
      <c r="AC36" s="5">
        <f>IF(AND('Actual Game'!A36="",'App Log'!A36=""),"",IF(COUNTIF(D36:AB36,"DIFF")=0,"MATCH","CHECK"))</f>
      </c>
    </row>
    <row r="37" ht="19" customHeight="1">
      <c r="A37" s="5"/>
      <c r="B37" s="5">
        <f>IF('Actual Game'!B37="","",'Actual Game'!B37)</f>
      </c>
      <c r="C37" s="5">
        <f>IF('App Log'!B37="","",'App Log'!B37)</f>
      </c>
      <c r="D37" s="5">
        <f>IF(AND('Actual Game'!B37="",'App Log'!B37=""),"",IF(TRIM('Actual Game'!B37&amp;"")=TRIM('App Log'!B37&amp;""),"MATCH","DIFF"))</f>
      </c>
      <c r="E37" s="5">
        <f>IF('Actual Game'!C37="","",'Actual Game'!C37)</f>
      </c>
      <c r="F37" s="5">
        <f>IF('App Log'!C37="","",'App Log'!C37)</f>
      </c>
      <c r="G37" s="5">
        <f>IF(AND('Actual Game'!C37="",'App Log'!C37=""),"",IF(TRIM('Actual Game'!C37&amp;"")=TRIM('App Log'!C37&amp;""),"MATCH","DIFF"))</f>
      </c>
      <c r="H37" s="5">
        <f>IF('Actual Game'!D37="","",'Actual Game'!D37)</f>
      </c>
      <c r="I37" s="5">
        <f>IF('App Log'!D37="","",'App Log'!D37)</f>
      </c>
      <c r="J37" s="5">
        <f>IF(AND('Actual Game'!D37="",'App Log'!D37=""),"",IF(TRIM('Actual Game'!D37&amp;"")=TRIM('App Log'!D37&amp;""),"MATCH","DIFF"))</f>
      </c>
      <c r="K37" s="5">
        <f>IF('Actual Game'!E37="","",'Actual Game'!E37)</f>
      </c>
      <c r="L37" s="5">
        <f>IF('App Log'!E37="","",'App Log'!E37)</f>
      </c>
      <c r="M37" s="5">
        <f>IF(AND('Actual Game'!E37="",'App Log'!E37=""),"",IF(TRIM('Actual Game'!E37&amp;"")=TRIM('App Log'!E37&amp;""),"MATCH","DIFF"))</f>
      </c>
      <c r="N37" s="5">
        <f>IF('Actual Game'!F37="","",'Actual Game'!F37)</f>
      </c>
      <c r="O37" s="5">
        <f>IF('App Log'!F37="","",'App Log'!F37)</f>
      </c>
      <c r="P37" s="5">
        <f>IF(AND('Actual Game'!F37="",'App Log'!F37=""),"",IF(TRIM('Actual Game'!F37&amp;"")=TRIM('App Log'!F37&amp;""),"MATCH","DIFF"))</f>
      </c>
      <c r="Q37" s="5">
        <f>IF('Actual Game'!I37="","",'Actual Game'!I37)</f>
      </c>
      <c r="R37" s="5">
        <f>IF('App Log'!I37="","",'App Log'!I37)</f>
      </c>
      <c r="S37" s="5">
        <f>IF(AND('Actual Game'!I37="",'App Log'!I37=""),"",IF(TRIM('Actual Game'!I37&amp;"")=TRIM('App Log'!I37&amp;""),"MATCH","DIFF"))</f>
      </c>
      <c r="T37" s="5">
        <f>IF('Actual Game'!H37="","",'Actual Game'!H37)</f>
      </c>
      <c r="U37" s="5">
        <f>IF('App Log'!H37="","",'App Log'!H37)</f>
      </c>
      <c r="V37" s="5">
        <f>IF(AND('Actual Game'!H37="",'App Log'!H37=""),"",IF(TRIM('Actual Game'!H37&amp;"")=TRIM('App Log'!H37&amp;""),"MATCH","DIFF"))</f>
      </c>
      <c r="W37" s="5">
        <f>IF('Actual Game'!J37="","",'Actual Game'!J37)</f>
      </c>
      <c r="X37" s="5">
        <f>IF('App Log'!J37="","",'App Log'!J37)</f>
      </c>
      <c r="Y37" s="5">
        <f>IF(AND('Actual Game'!J37="",'App Log'!J37=""),"",IF(TRIM('Actual Game'!J37&amp;"")=TRIM('App Log'!J37&amp;""),"MATCH","DIFF"))</f>
      </c>
      <c r="Z37" s="5">
        <f>IF('Actual Game'!K37="","",'Actual Game'!K37)</f>
      </c>
      <c r="AA37" s="5">
        <f>IF('App Log'!K37="","",'App Log'!K37)</f>
      </c>
      <c r="AB37" s="5">
        <f>IF(AND('Actual Game'!K37="",'App Log'!K37=""),"",IF(TRIM('Actual Game'!K37&amp;"")=TRIM('App Log'!K37&amp;""),"MATCH","DIFF"))</f>
      </c>
      <c r="AC37" s="5">
        <f>IF(AND('Actual Game'!A37="",'App Log'!A37=""),"",IF(COUNTIF(D37:AB37,"DIFF")=0,"MATCH","CHECK"))</f>
      </c>
    </row>
    <row r="38" ht="19" customHeight="1">
      <c r="A38" s="5"/>
      <c r="B38" s="5">
        <f>IF('Actual Game'!B38="","",'Actual Game'!B38)</f>
      </c>
      <c r="C38" s="5">
        <f>IF('App Log'!B38="","",'App Log'!B38)</f>
      </c>
      <c r="D38" s="5">
        <f>IF(AND('Actual Game'!B38="",'App Log'!B38=""),"",IF(TRIM('Actual Game'!B38&amp;"")=TRIM('App Log'!B38&amp;""),"MATCH","DIFF"))</f>
      </c>
      <c r="E38" s="5">
        <f>IF('Actual Game'!C38="","",'Actual Game'!C38)</f>
      </c>
      <c r="F38" s="5">
        <f>IF('App Log'!C38="","",'App Log'!C38)</f>
      </c>
      <c r="G38" s="5">
        <f>IF(AND('Actual Game'!C38="",'App Log'!C38=""),"",IF(TRIM('Actual Game'!C38&amp;"")=TRIM('App Log'!C38&amp;""),"MATCH","DIFF"))</f>
      </c>
      <c r="H38" s="5">
        <f>IF('Actual Game'!D38="","",'Actual Game'!D38)</f>
      </c>
      <c r="I38" s="5">
        <f>IF('App Log'!D38="","",'App Log'!D38)</f>
      </c>
      <c r="J38" s="5">
        <f>IF(AND('Actual Game'!D38="",'App Log'!D38=""),"",IF(TRIM('Actual Game'!D38&amp;"")=TRIM('App Log'!D38&amp;""),"MATCH","DIFF"))</f>
      </c>
      <c r="K38" s="5">
        <f>IF('Actual Game'!E38="","",'Actual Game'!E38)</f>
      </c>
      <c r="L38" s="5">
        <f>IF('App Log'!E38="","",'App Log'!E38)</f>
      </c>
      <c r="M38" s="5">
        <f>IF(AND('Actual Game'!E38="",'App Log'!E38=""),"",IF(TRIM('Actual Game'!E38&amp;"")=TRIM('App Log'!E38&amp;""),"MATCH","DIFF"))</f>
      </c>
      <c r="N38" s="5">
        <f>IF('Actual Game'!F38="","",'Actual Game'!F38)</f>
      </c>
      <c r="O38" s="5">
        <f>IF('App Log'!F38="","",'App Log'!F38)</f>
      </c>
      <c r="P38" s="5">
        <f>IF(AND('Actual Game'!F38="",'App Log'!F38=""),"",IF(TRIM('Actual Game'!F38&amp;"")=TRIM('App Log'!F38&amp;""),"MATCH","DIFF"))</f>
      </c>
      <c r="Q38" s="5">
        <f>IF('Actual Game'!I38="","",'Actual Game'!I38)</f>
      </c>
      <c r="R38" s="5">
        <f>IF('App Log'!I38="","",'App Log'!I38)</f>
      </c>
      <c r="S38" s="5">
        <f>IF(AND('Actual Game'!I38="",'App Log'!I38=""),"",IF(TRIM('Actual Game'!I38&amp;"")=TRIM('App Log'!I38&amp;""),"MATCH","DIFF"))</f>
      </c>
      <c r="T38" s="5">
        <f>IF('Actual Game'!H38="","",'Actual Game'!H38)</f>
      </c>
      <c r="U38" s="5">
        <f>IF('App Log'!H38="","",'App Log'!H38)</f>
      </c>
      <c r="V38" s="5">
        <f>IF(AND('Actual Game'!H38="",'App Log'!H38=""),"",IF(TRIM('Actual Game'!H38&amp;"")=TRIM('App Log'!H38&amp;""),"MATCH","DIFF"))</f>
      </c>
      <c r="W38" s="5">
        <f>IF('Actual Game'!J38="","",'Actual Game'!J38)</f>
      </c>
      <c r="X38" s="5">
        <f>IF('App Log'!J38="","",'App Log'!J38)</f>
      </c>
      <c r="Y38" s="5">
        <f>IF(AND('Actual Game'!J38="",'App Log'!J38=""),"",IF(TRIM('Actual Game'!J38&amp;"")=TRIM('App Log'!J38&amp;""),"MATCH","DIFF"))</f>
      </c>
      <c r="Z38" s="5">
        <f>IF('Actual Game'!K38="","",'Actual Game'!K38)</f>
      </c>
      <c r="AA38" s="5">
        <f>IF('App Log'!K38="","",'App Log'!K38)</f>
      </c>
      <c r="AB38" s="5">
        <f>IF(AND('Actual Game'!K38="",'App Log'!K38=""),"",IF(TRIM('Actual Game'!K38&amp;"")=TRIM('App Log'!K38&amp;""),"MATCH","DIFF"))</f>
      </c>
      <c r="AC38" s="5">
        <f>IF(AND('Actual Game'!A38="",'App Log'!A38=""),"",IF(COUNTIF(D38:AB38,"DIFF")=0,"MATCH","CHECK"))</f>
      </c>
    </row>
    <row r="39" ht="19" customHeight="1">
      <c r="A39" s="5"/>
      <c r="B39" s="5">
        <f>IF('Actual Game'!B39="","",'Actual Game'!B39)</f>
      </c>
      <c r="C39" s="5">
        <f>IF('App Log'!B39="","",'App Log'!B39)</f>
      </c>
      <c r="D39" s="5">
        <f>IF(AND('Actual Game'!B39="",'App Log'!B39=""),"",IF(TRIM('Actual Game'!B39&amp;"")=TRIM('App Log'!B39&amp;""),"MATCH","DIFF"))</f>
      </c>
      <c r="E39" s="5">
        <f>IF('Actual Game'!C39="","",'Actual Game'!C39)</f>
      </c>
      <c r="F39" s="5">
        <f>IF('App Log'!C39="","",'App Log'!C39)</f>
      </c>
      <c r="G39" s="5">
        <f>IF(AND('Actual Game'!C39="",'App Log'!C39=""),"",IF(TRIM('Actual Game'!C39&amp;"")=TRIM('App Log'!C39&amp;""),"MATCH","DIFF"))</f>
      </c>
      <c r="H39" s="5">
        <f>IF('Actual Game'!D39="","",'Actual Game'!D39)</f>
      </c>
      <c r="I39" s="5">
        <f>IF('App Log'!D39="","",'App Log'!D39)</f>
      </c>
      <c r="J39" s="5">
        <f>IF(AND('Actual Game'!D39="",'App Log'!D39=""),"",IF(TRIM('Actual Game'!D39&amp;"")=TRIM('App Log'!D39&amp;""),"MATCH","DIFF"))</f>
      </c>
      <c r="K39" s="5">
        <f>IF('Actual Game'!E39="","",'Actual Game'!E39)</f>
      </c>
      <c r="L39" s="5">
        <f>IF('App Log'!E39="","",'App Log'!E39)</f>
      </c>
      <c r="M39" s="5">
        <f>IF(AND('Actual Game'!E39="",'App Log'!E39=""),"",IF(TRIM('Actual Game'!E39&amp;"")=TRIM('App Log'!E39&amp;""),"MATCH","DIFF"))</f>
      </c>
      <c r="N39" s="5">
        <f>IF('Actual Game'!F39="","",'Actual Game'!F39)</f>
      </c>
      <c r="O39" s="5">
        <f>IF('App Log'!F39="","",'App Log'!F39)</f>
      </c>
      <c r="P39" s="5">
        <f>IF(AND('Actual Game'!F39="",'App Log'!F39=""),"",IF(TRIM('Actual Game'!F39&amp;"")=TRIM('App Log'!F39&amp;""),"MATCH","DIFF"))</f>
      </c>
      <c r="Q39" s="5">
        <f>IF('Actual Game'!I39="","",'Actual Game'!I39)</f>
      </c>
      <c r="R39" s="5">
        <f>IF('App Log'!I39="","",'App Log'!I39)</f>
      </c>
      <c r="S39" s="5">
        <f>IF(AND('Actual Game'!I39="",'App Log'!I39=""),"",IF(TRIM('Actual Game'!I39&amp;"")=TRIM('App Log'!I39&amp;""),"MATCH","DIFF"))</f>
      </c>
      <c r="T39" s="5">
        <f>IF('Actual Game'!H39="","",'Actual Game'!H39)</f>
      </c>
      <c r="U39" s="5">
        <f>IF('App Log'!H39="","",'App Log'!H39)</f>
      </c>
      <c r="V39" s="5">
        <f>IF(AND('Actual Game'!H39="",'App Log'!H39=""),"",IF(TRIM('Actual Game'!H39&amp;"")=TRIM('App Log'!H39&amp;""),"MATCH","DIFF"))</f>
      </c>
      <c r="W39" s="5">
        <f>IF('Actual Game'!J39="","",'Actual Game'!J39)</f>
      </c>
      <c r="X39" s="5">
        <f>IF('App Log'!J39="","",'App Log'!J39)</f>
      </c>
      <c r="Y39" s="5">
        <f>IF(AND('Actual Game'!J39="",'App Log'!J39=""),"",IF(TRIM('Actual Game'!J39&amp;"")=TRIM('App Log'!J39&amp;""),"MATCH","DIFF"))</f>
      </c>
      <c r="Z39" s="5">
        <f>IF('Actual Game'!K39="","",'Actual Game'!K39)</f>
      </c>
      <c r="AA39" s="5">
        <f>IF('App Log'!K39="","",'App Log'!K39)</f>
      </c>
      <c r="AB39" s="5">
        <f>IF(AND('Actual Game'!K39="",'App Log'!K39=""),"",IF(TRIM('Actual Game'!K39&amp;"")=TRIM('App Log'!K39&amp;""),"MATCH","DIFF"))</f>
      </c>
      <c r="AC39" s="5">
        <f>IF(AND('Actual Game'!A39="",'App Log'!A39=""),"",IF(COUNTIF(D39:AB39,"DIFF")=0,"MATCH","CHECK"))</f>
      </c>
    </row>
    <row r="40" ht="19" customHeight="1">
      <c r="A40" s="5"/>
      <c r="B40" s="5">
        <f>IF('Actual Game'!B40="","",'Actual Game'!B40)</f>
      </c>
      <c r="C40" s="5">
        <f>IF('App Log'!B40="","",'App Log'!B40)</f>
      </c>
      <c r="D40" s="5">
        <f>IF(AND('Actual Game'!B40="",'App Log'!B40=""),"",IF(TRIM('Actual Game'!B40&amp;"")=TRIM('App Log'!B40&amp;""),"MATCH","DIFF"))</f>
      </c>
      <c r="E40" s="5">
        <f>IF('Actual Game'!C40="","",'Actual Game'!C40)</f>
      </c>
      <c r="F40" s="5">
        <f>IF('App Log'!C40="","",'App Log'!C40)</f>
      </c>
      <c r="G40" s="5">
        <f>IF(AND('Actual Game'!C40="",'App Log'!C40=""),"",IF(TRIM('Actual Game'!C40&amp;"")=TRIM('App Log'!C40&amp;""),"MATCH","DIFF"))</f>
      </c>
      <c r="H40" s="5">
        <f>IF('Actual Game'!D40="","",'Actual Game'!D40)</f>
      </c>
      <c r="I40" s="5">
        <f>IF('App Log'!D40="","",'App Log'!D40)</f>
      </c>
      <c r="J40" s="5">
        <f>IF(AND('Actual Game'!D40="",'App Log'!D40=""),"",IF(TRIM('Actual Game'!D40&amp;"")=TRIM('App Log'!D40&amp;""),"MATCH","DIFF"))</f>
      </c>
      <c r="K40" s="5">
        <f>IF('Actual Game'!E40="","",'Actual Game'!E40)</f>
      </c>
      <c r="L40" s="5">
        <f>IF('App Log'!E40="","",'App Log'!E40)</f>
      </c>
      <c r="M40" s="5">
        <f>IF(AND('Actual Game'!E40="",'App Log'!E40=""),"",IF(TRIM('Actual Game'!E40&amp;"")=TRIM('App Log'!E40&amp;""),"MATCH","DIFF"))</f>
      </c>
      <c r="N40" s="5">
        <f>IF('Actual Game'!F40="","",'Actual Game'!F40)</f>
      </c>
      <c r="O40" s="5">
        <f>IF('App Log'!F40="","",'App Log'!F40)</f>
      </c>
      <c r="P40" s="5">
        <f>IF(AND('Actual Game'!F40="",'App Log'!F40=""),"",IF(TRIM('Actual Game'!F40&amp;"")=TRIM('App Log'!F40&amp;""),"MATCH","DIFF"))</f>
      </c>
      <c r="Q40" s="5">
        <f>IF('Actual Game'!I40="","",'Actual Game'!I40)</f>
      </c>
      <c r="R40" s="5">
        <f>IF('App Log'!I40="","",'App Log'!I40)</f>
      </c>
      <c r="S40" s="5">
        <f>IF(AND('Actual Game'!I40="",'App Log'!I40=""),"",IF(TRIM('Actual Game'!I40&amp;"")=TRIM('App Log'!I40&amp;""),"MATCH","DIFF"))</f>
      </c>
      <c r="T40" s="5">
        <f>IF('Actual Game'!H40="","",'Actual Game'!H40)</f>
      </c>
      <c r="U40" s="5">
        <f>IF('App Log'!H40="","",'App Log'!H40)</f>
      </c>
      <c r="V40" s="5">
        <f>IF(AND('Actual Game'!H40="",'App Log'!H40=""),"",IF(TRIM('Actual Game'!H40&amp;"")=TRIM('App Log'!H40&amp;""),"MATCH","DIFF"))</f>
      </c>
      <c r="W40" s="5">
        <f>IF('Actual Game'!J40="","",'Actual Game'!J40)</f>
      </c>
      <c r="X40" s="5">
        <f>IF('App Log'!J40="","",'App Log'!J40)</f>
      </c>
      <c r="Y40" s="5">
        <f>IF(AND('Actual Game'!J40="",'App Log'!J40=""),"",IF(TRIM('Actual Game'!J40&amp;"")=TRIM('App Log'!J40&amp;""),"MATCH","DIFF"))</f>
      </c>
      <c r="Z40" s="5">
        <f>IF('Actual Game'!K40="","",'Actual Game'!K40)</f>
      </c>
      <c r="AA40" s="5">
        <f>IF('App Log'!K40="","",'App Log'!K40)</f>
      </c>
      <c r="AB40" s="5">
        <f>IF(AND('Actual Game'!K40="",'App Log'!K40=""),"",IF(TRIM('Actual Game'!K40&amp;"")=TRIM('App Log'!K40&amp;""),"MATCH","DIFF"))</f>
      </c>
      <c r="AC40" s="5">
        <f>IF(AND('Actual Game'!A40="",'App Log'!A40=""),"",IF(COUNTIF(D40:AB40,"DIFF")=0,"MATCH","CHECK"))</f>
      </c>
    </row>
    <row r="41" ht="19" customHeight="1">
      <c r="A41" s="5"/>
      <c r="B41" s="5">
        <f>IF('Actual Game'!B41="","",'Actual Game'!B41)</f>
      </c>
      <c r="C41" s="5">
        <f>IF('App Log'!B41="","",'App Log'!B41)</f>
      </c>
      <c r="D41" s="5">
        <f>IF(AND('Actual Game'!B41="",'App Log'!B41=""),"",IF(TRIM('Actual Game'!B41&amp;"")=TRIM('App Log'!B41&amp;""),"MATCH","DIFF"))</f>
      </c>
      <c r="E41" s="5">
        <f>IF('Actual Game'!C41="","",'Actual Game'!C41)</f>
      </c>
      <c r="F41" s="5">
        <f>IF('App Log'!C41="","",'App Log'!C41)</f>
      </c>
      <c r="G41" s="5">
        <f>IF(AND('Actual Game'!C41="",'App Log'!C41=""),"",IF(TRIM('Actual Game'!C41&amp;"")=TRIM('App Log'!C41&amp;""),"MATCH","DIFF"))</f>
      </c>
      <c r="H41" s="5">
        <f>IF('Actual Game'!D41="","",'Actual Game'!D41)</f>
      </c>
      <c r="I41" s="5">
        <f>IF('App Log'!D41="","",'App Log'!D41)</f>
      </c>
      <c r="J41" s="5">
        <f>IF(AND('Actual Game'!D41="",'App Log'!D41=""),"",IF(TRIM('Actual Game'!D41&amp;"")=TRIM('App Log'!D41&amp;""),"MATCH","DIFF"))</f>
      </c>
      <c r="K41" s="5">
        <f>IF('Actual Game'!E41="","",'Actual Game'!E41)</f>
      </c>
      <c r="L41" s="5">
        <f>IF('App Log'!E41="","",'App Log'!E41)</f>
      </c>
      <c r="M41" s="5">
        <f>IF(AND('Actual Game'!E41="",'App Log'!E41=""),"",IF(TRIM('Actual Game'!E41&amp;"")=TRIM('App Log'!E41&amp;""),"MATCH","DIFF"))</f>
      </c>
      <c r="N41" s="5">
        <f>IF('Actual Game'!F41="","",'Actual Game'!F41)</f>
      </c>
      <c r="O41" s="5">
        <f>IF('App Log'!F41="","",'App Log'!F41)</f>
      </c>
      <c r="P41" s="5">
        <f>IF(AND('Actual Game'!F41="",'App Log'!F41=""),"",IF(TRIM('Actual Game'!F41&amp;"")=TRIM('App Log'!F41&amp;""),"MATCH","DIFF"))</f>
      </c>
      <c r="Q41" s="5">
        <f>IF('Actual Game'!I41="","",'Actual Game'!I41)</f>
      </c>
      <c r="R41" s="5">
        <f>IF('App Log'!I41="","",'App Log'!I41)</f>
      </c>
      <c r="S41" s="5">
        <f>IF(AND('Actual Game'!I41="",'App Log'!I41=""),"",IF(TRIM('Actual Game'!I41&amp;"")=TRIM('App Log'!I41&amp;""),"MATCH","DIFF"))</f>
      </c>
      <c r="T41" s="5">
        <f>IF('Actual Game'!H41="","",'Actual Game'!H41)</f>
      </c>
      <c r="U41" s="5">
        <f>IF('App Log'!H41="","",'App Log'!H41)</f>
      </c>
      <c r="V41" s="5">
        <f>IF(AND('Actual Game'!H41="",'App Log'!H41=""),"",IF(TRIM('Actual Game'!H41&amp;"")=TRIM('App Log'!H41&amp;""),"MATCH","DIFF"))</f>
      </c>
      <c r="W41" s="5">
        <f>IF('Actual Game'!J41="","",'Actual Game'!J41)</f>
      </c>
      <c r="X41" s="5">
        <f>IF('App Log'!J41="","",'App Log'!J41)</f>
      </c>
      <c r="Y41" s="5">
        <f>IF(AND('Actual Game'!J41="",'App Log'!J41=""),"",IF(TRIM('Actual Game'!J41&amp;"")=TRIM('App Log'!J41&amp;""),"MATCH","DIFF"))</f>
      </c>
      <c r="Z41" s="5">
        <f>IF('Actual Game'!K41="","",'Actual Game'!K41)</f>
      </c>
      <c r="AA41" s="5">
        <f>IF('App Log'!K41="","",'App Log'!K41)</f>
      </c>
      <c r="AB41" s="5">
        <f>IF(AND('Actual Game'!K41="",'App Log'!K41=""),"",IF(TRIM('Actual Game'!K41&amp;"")=TRIM('App Log'!K41&amp;""),"MATCH","DIFF"))</f>
      </c>
      <c r="AC41" s="5">
        <f>IF(AND('Actual Game'!A41="",'App Log'!A41=""),"",IF(COUNTIF(D41:AB41,"DIFF")=0,"MATCH","CHECK"))</f>
      </c>
    </row>
    <row r="42" ht="19" customHeight="1">
      <c r="A42" s="5"/>
      <c r="B42" s="5">
        <f>IF('Actual Game'!B42="","",'Actual Game'!B42)</f>
      </c>
      <c r="C42" s="5">
        <f>IF('App Log'!B42="","",'App Log'!B42)</f>
      </c>
      <c r="D42" s="5">
        <f>IF(AND('Actual Game'!B42="",'App Log'!B42=""),"",IF(TRIM('Actual Game'!B42&amp;"")=TRIM('App Log'!B42&amp;""),"MATCH","DIFF"))</f>
      </c>
      <c r="E42" s="5">
        <f>IF('Actual Game'!C42="","",'Actual Game'!C42)</f>
      </c>
      <c r="F42" s="5">
        <f>IF('App Log'!C42="","",'App Log'!C42)</f>
      </c>
      <c r="G42" s="5">
        <f>IF(AND('Actual Game'!C42="",'App Log'!C42=""),"",IF(TRIM('Actual Game'!C42&amp;"")=TRIM('App Log'!C42&amp;""),"MATCH","DIFF"))</f>
      </c>
      <c r="H42" s="5">
        <f>IF('Actual Game'!D42="","",'Actual Game'!D42)</f>
      </c>
      <c r="I42" s="5">
        <f>IF('App Log'!D42="","",'App Log'!D42)</f>
      </c>
      <c r="J42" s="5">
        <f>IF(AND('Actual Game'!D42="",'App Log'!D42=""),"",IF(TRIM('Actual Game'!D42&amp;"")=TRIM('App Log'!D42&amp;""),"MATCH","DIFF"))</f>
      </c>
      <c r="K42" s="5">
        <f>IF('Actual Game'!E42="","",'Actual Game'!E42)</f>
      </c>
      <c r="L42" s="5">
        <f>IF('App Log'!E42="","",'App Log'!E42)</f>
      </c>
      <c r="M42" s="5">
        <f>IF(AND('Actual Game'!E42="",'App Log'!E42=""),"",IF(TRIM('Actual Game'!E42&amp;"")=TRIM('App Log'!E42&amp;""),"MATCH","DIFF"))</f>
      </c>
      <c r="N42" s="5">
        <f>IF('Actual Game'!F42="","",'Actual Game'!F42)</f>
      </c>
      <c r="O42" s="5">
        <f>IF('App Log'!F42="","",'App Log'!F42)</f>
      </c>
      <c r="P42" s="5">
        <f>IF(AND('Actual Game'!F42="",'App Log'!F42=""),"",IF(TRIM('Actual Game'!F42&amp;"")=TRIM('App Log'!F42&amp;""),"MATCH","DIFF"))</f>
      </c>
      <c r="Q42" s="5">
        <f>IF('Actual Game'!I42="","",'Actual Game'!I42)</f>
      </c>
      <c r="R42" s="5">
        <f>IF('App Log'!I42="","",'App Log'!I42)</f>
      </c>
      <c r="S42" s="5">
        <f>IF(AND('Actual Game'!I42="",'App Log'!I42=""),"",IF(TRIM('Actual Game'!I42&amp;"")=TRIM('App Log'!I42&amp;""),"MATCH","DIFF"))</f>
      </c>
      <c r="T42" s="5">
        <f>IF('Actual Game'!H42="","",'Actual Game'!H42)</f>
      </c>
      <c r="U42" s="5">
        <f>IF('App Log'!H42="","",'App Log'!H42)</f>
      </c>
      <c r="V42" s="5">
        <f>IF(AND('Actual Game'!H42="",'App Log'!H42=""),"",IF(TRIM('Actual Game'!H42&amp;"")=TRIM('App Log'!H42&amp;""),"MATCH","DIFF"))</f>
      </c>
      <c r="W42" s="5">
        <f>IF('Actual Game'!J42="","",'Actual Game'!J42)</f>
      </c>
      <c r="X42" s="5">
        <f>IF('App Log'!J42="","",'App Log'!J42)</f>
      </c>
      <c r="Y42" s="5">
        <f>IF(AND('Actual Game'!J42="",'App Log'!J42=""),"",IF(TRIM('Actual Game'!J42&amp;"")=TRIM('App Log'!J42&amp;""),"MATCH","DIFF"))</f>
      </c>
      <c r="Z42" s="5">
        <f>IF('Actual Game'!K42="","",'Actual Game'!K42)</f>
      </c>
      <c r="AA42" s="5">
        <f>IF('App Log'!K42="","",'App Log'!K42)</f>
      </c>
      <c r="AB42" s="5">
        <f>IF(AND('Actual Game'!K42="",'App Log'!K42=""),"",IF(TRIM('Actual Game'!K42&amp;"")=TRIM('App Log'!K42&amp;""),"MATCH","DIFF"))</f>
      </c>
      <c r="AC42" s="5">
        <f>IF(AND('Actual Game'!A42="",'App Log'!A42=""),"",IF(COUNTIF(D42:AB42,"DIFF")=0,"MATCH","CHECK"))</f>
      </c>
    </row>
    <row r="43" ht="19" customHeight="1">
      <c r="A43" s="5"/>
      <c r="B43" s="5">
        <f>IF('Actual Game'!B43="","",'Actual Game'!B43)</f>
      </c>
      <c r="C43" s="5">
        <f>IF('App Log'!B43="","",'App Log'!B43)</f>
      </c>
      <c r="D43" s="5">
        <f>IF(AND('Actual Game'!B43="",'App Log'!B43=""),"",IF(TRIM('Actual Game'!B43&amp;"")=TRIM('App Log'!B43&amp;""),"MATCH","DIFF"))</f>
      </c>
      <c r="E43" s="5">
        <f>IF('Actual Game'!C43="","",'Actual Game'!C43)</f>
      </c>
      <c r="F43" s="5">
        <f>IF('App Log'!C43="","",'App Log'!C43)</f>
      </c>
      <c r="G43" s="5">
        <f>IF(AND('Actual Game'!C43="",'App Log'!C43=""),"",IF(TRIM('Actual Game'!C43&amp;"")=TRIM('App Log'!C43&amp;""),"MATCH","DIFF"))</f>
      </c>
      <c r="H43" s="5">
        <f>IF('Actual Game'!D43="","",'Actual Game'!D43)</f>
      </c>
      <c r="I43" s="5">
        <f>IF('App Log'!D43="","",'App Log'!D43)</f>
      </c>
      <c r="J43" s="5">
        <f>IF(AND('Actual Game'!D43="",'App Log'!D43=""),"",IF(TRIM('Actual Game'!D43&amp;"")=TRIM('App Log'!D43&amp;""),"MATCH","DIFF"))</f>
      </c>
      <c r="K43" s="5">
        <f>IF('Actual Game'!E43="","",'Actual Game'!E43)</f>
      </c>
      <c r="L43" s="5">
        <f>IF('App Log'!E43="","",'App Log'!E43)</f>
      </c>
      <c r="M43" s="5">
        <f>IF(AND('Actual Game'!E43="",'App Log'!E43=""),"",IF(TRIM('Actual Game'!E43&amp;"")=TRIM('App Log'!E43&amp;""),"MATCH","DIFF"))</f>
      </c>
      <c r="N43" s="5">
        <f>IF('Actual Game'!F43="","",'Actual Game'!F43)</f>
      </c>
      <c r="O43" s="5">
        <f>IF('App Log'!F43="","",'App Log'!F43)</f>
      </c>
      <c r="P43" s="5">
        <f>IF(AND('Actual Game'!F43="",'App Log'!F43=""),"",IF(TRIM('Actual Game'!F43&amp;"")=TRIM('App Log'!F43&amp;""),"MATCH","DIFF"))</f>
      </c>
      <c r="Q43" s="5">
        <f>IF('Actual Game'!I43="","",'Actual Game'!I43)</f>
      </c>
      <c r="R43" s="5">
        <f>IF('App Log'!I43="","",'App Log'!I43)</f>
      </c>
      <c r="S43" s="5">
        <f>IF(AND('Actual Game'!I43="",'App Log'!I43=""),"",IF(TRIM('Actual Game'!I43&amp;"")=TRIM('App Log'!I43&amp;""),"MATCH","DIFF"))</f>
      </c>
      <c r="T43" s="5">
        <f>IF('Actual Game'!H43="","",'Actual Game'!H43)</f>
      </c>
      <c r="U43" s="5">
        <f>IF('App Log'!H43="","",'App Log'!H43)</f>
      </c>
      <c r="V43" s="5">
        <f>IF(AND('Actual Game'!H43="",'App Log'!H43=""),"",IF(TRIM('Actual Game'!H43&amp;"")=TRIM('App Log'!H43&amp;""),"MATCH","DIFF"))</f>
      </c>
      <c r="W43" s="5">
        <f>IF('Actual Game'!J43="","",'Actual Game'!J43)</f>
      </c>
      <c r="X43" s="5">
        <f>IF('App Log'!J43="","",'App Log'!J43)</f>
      </c>
      <c r="Y43" s="5">
        <f>IF(AND('Actual Game'!J43="",'App Log'!J43=""),"",IF(TRIM('Actual Game'!J43&amp;"")=TRIM('App Log'!J43&amp;""),"MATCH","DIFF"))</f>
      </c>
      <c r="Z43" s="5">
        <f>IF('Actual Game'!K43="","",'Actual Game'!K43)</f>
      </c>
      <c r="AA43" s="5">
        <f>IF('App Log'!K43="","",'App Log'!K43)</f>
      </c>
      <c r="AB43" s="5">
        <f>IF(AND('Actual Game'!K43="",'App Log'!K43=""),"",IF(TRIM('Actual Game'!K43&amp;"")=TRIM('App Log'!K43&amp;""),"MATCH","DIFF"))</f>
      </c>
      <c r="AC43" s="5">
        <f>IF(AND('Actual Game'!A43="",'App Log'!A43=""),"",IF(COUNTIF(D43:AB43,"DIFF")=0,"MATCH","CHECK"))</f>
      </c>
    </row>
    <row r="44" ht="19" customHeight="1">
      <c r="A44" s="5"/>
      <c r="B44" s="5">
        <f>IF('Actual Game'!B44="","",'Actual Game'!B44)</f>
      </c>
      <c r="C44" s="5">
        <f>IF('App Log'!B44="","",'App Log'!B44)</f>
      </c>
      <c r="D44" s="5">
        <f>IF(AND('Actual Game'!B44="",'App Log'!B44=""),"",IF(TRIM('Actual Game'!B44&amp;"")=TRIM('App Log'!B44&amp;""),"MATCH","DIFF"))</f>
      </c>
      <c r="E44" s="5">
        <f>IF('Actual Game'!C44="","",'Actual Game'!C44)</f>
      </c>
      <c r="F44" s="5">
        <f>IF('App Log'!C44="","",'App Log'!C44)</f>
      </c>
      <c r="G44" s="5">
        <f>IF(AND('Actual Game'!C44="",'App Log'!C44=""),"",IF(TRIM('Actual Game'!C44&amp;"")=TRIM('App Log'!C44&amp;""),"MATCH","DIFF"))</f>
      </c>
      <c r="H44" s="5">
        <f>IF('Actual Game'!D44="","",'Actual Game'!D44)</f>
      </c>
      <c r="I44" s="5">
        <f>IF('App Log'!D44="","",'App Log'!D44)</f>
      </c>
      <c r="J44" s="5">
        <f>IF(AND('Actual Game'!D44="",'App Log'!D44=""),"",IF(TRIM('Actual Game'!D44&amp;"")=TRIM('App Log'!D44&amp;""),"MATCH","DIFF"))</f>
      </c>
      <c r="K44" s="5">
        <f>IF('Actual Game'!E44="","",'Actual Game'!E44)</f>
      </c>
      <c r="L44" s="5">
        <f>IF('App Log'!E44="","",'App Log'!E44)</f>
      </c>
      <c r="M44" s="5">
        <f>IF(AND('Actual Game'!E44="",'App Log'!E44=""),"",IF(TRIM('Actual Game'!E44&amp;"")=TRIM('App Log'!E44&amp;""),"MATCH","DIFF"))</f>
      </c>
      <c r="N44" s="5">
        <f>IF('Actual Game'!F44="","",'Actual Game'!F44)</f>
      </c>
      <c r="O44" s="5">
        <f>IF('App Log'!F44="","",'App Log'!F44)</f>
      </c>
      <c r="P44" s="5">
        <f>IF(AND('Actual Game'!F44="",'App Log'!F44=""),"",IF(TRIM('Actual Game'!F44&amp;"")=TRIM('App Log'!F44&amp;""),"MATCH","DIFF"))</f>
      </c>
      <c r="Q44" s="5">
        <f>IF('Actual Game'!I44="","",'Actual Game'!I44)</f>
      </c>
      <c r="R44" s="5">
        <f>IF('App Log'!I44="","",'App Log'!I44)</f>
      </c>
      <c r="S44" s="5">
        <f>IF(AND('Actual Game'!I44="",'App Log'!I44=""),"",IF(TRIM('Actual Game'!I44&amp;"")=TRIM('App Log'!I44&amp;""),"MATCH","DIFF"))</f>
      </c>
      <c r="T44" s="5">
        <f>IF('Actual Game'!H44="","",'Actual Game'!H44)</f>
      </c>
      <c r="U44" s="5">
        <f>IF('App Log'!H44="","",'App Log'!H44)</f>
      </c>
      <c r="V44" s="5">
        <f>IF(AND('Actual Game'!H44="",'App Log'!H44=""),"",IF(TRIM('Actual Game'!H44&amp;"")=TRIM('App Log'!H44&amp;""),"MATCH","DIFF"))</f>
      </c>
      <c r="W44" s="5">
        <f>IF('Actual Game'!J44="","",'Actual Game'!J44)</f>
      </c>
      <c r="X44" s="5">
        <f>IF('App Log'!J44="","",'App Log'!J44)</f>
      </c>
      <c r="Y44" s="5">
        <f>IF(AND('Actual Game'!J44="",'App Log'!J44=""),"",IF(TRIM('Actual Game'!J44&amp;"")=TRIM('App Log'!J44&amp;""),"MATCH","DIFF"))</f>
      </c>
      <c r="Z44" s="5">
        <f>IF('Actual Game'!K44="","",'Actual Game'!K44)</f>
      </c>
      <c r="AA44" s="5">
        <f>IF('App Log'!K44="","",'App Log'!K44)</f>
      </c>
      <c r="AB44" s="5">
        <f>IF(AND('Actual Game'!K44="",'App Log'!K44=""),"",IF(TRIM('Actual Game'!K44&amp;"")=TRIM('App Log'!K44&amp;""),"MATCH","DIFF"))</f>
      </c>
      <c r="AC44" s="5">
        <f>IF(AND('Actual Game'!A44="",'App Log'!A44=""),"",IF(COUNTIF(D44:AB44,"DIFF")=0,"MATCH","CHECK"))</f>
      </c>
    </row>
    <row r="45" ht="19" customHeight="1">
      <c r="A45" s="5"/>
      <c r="B45" s="5">
        <f>IF('Actual Game'!B45="","",'Actual Game'!B45)</f>
      </c>
      <c r="C45" s="5">
        <f>IF('App Log'!B45="","",'App Log'!B45)</f>
      </c>
      <c r="D45" s="5">
        <f>IF(AND('Actual Game'!B45="",'App Log'!B45=""),"",IF(TRIM('Actual Game'!B45&amp;"")=TRIM('App Log'!B45&amp;""),"MATCH","DIFF"))</f>
      </c>
      <c r="E45" s="5">
        <f>IF('Actual Game'!C45="","",'Actual Game'!C45)</f>
      </c>
      <c r="F45" s="5">
        <f>IF('App Log'!C45="","",'App Log'!C45)</f>
      </c>
      <c r="G45" s="5">
        <f>IF(AND('Actual Game'!C45="",'App Log'!C45=""),"",IF(TRIM('Actual Game'!C45&amp;"")=TRIM('App Log'!C45&amp;""),"MATCH","DIFF"))</f>
      </c>
      <c r="H45" s="5">
        <f>IF('Actual Game'!D45="","",'Actual Game'!D45)</f>
      </c>
      <c r="I45" s="5">
        <f>IF('App Log'!D45="","",'App Log'!D45)</f>
      </c>
      <c r="J45" s="5">
        <f>IF(AND('Actual Game'!D45="",'App Log'!D45=""),"",IF(TRIM('Actual Game'!D45&amp;"")=TRIM('App Log'!D45&amp;""),"MATCH","DIFF"))</f>
      </c>
      <c r="K45" s="5">
        <f>IF('Actual Game'!E45="","",'Actual Game'!E45)</f>
      </c>
      <c r="L45" s="5">
        <f>IF('App Log'!E45="","",'App Log'!E45)</f>
      </c>
      <c r="M45" s="5">
        <f>IF(AND('Actual Game'!E45="",'App Log'!E45=""),"",IF(TRIM('Actual Game'!E45&amp;"")=TRIM('App Log'!E45&amp;""),"MATCH","DIFF"))</f>
      </c>
      <c r="N45" s="5">
        <f>IF('Actual Game'!F45="","",'Actual Game'!F45)</f>
      </c>
      <c r="O45" s="5">
        <f>IF('App Log'!F45="","",'App Log'!F45)</f>
      </c>
      <c r="P45" s="5">
        <f>IF(AND('Actual Game'!F45="",'App Log'!F45=""),"",IF(TRIM('Actual Game'!F45&amp;"")=TRIM('App Log'!F45&amp;""),"MATCH","DIFF"))</f>
      </c>
      <c r="Q45" s="5">
        <f>IF('Actual Game'!I45="","",'Actual Game'!I45)</f>
      </c>
      <c r="R45" s="5">
        <f>IF('App Log'!I45="","",'App Log'!I45)</f>
      </c>
      <c r="S45" s="5">
        <f>IF(AND('Actual Game'!I45="",'App Log'!I45=""),"",IF(TRIM('Actual Game'!I45&amp;"")=TRIM('App Log'!I45&amp;""),"MATCH","DIFF"))</f>
      </c>
      <c r="T45" s="5">
        <f>IF('Actual Game'!H45="","",'Actual Game'!H45)</f>
      </c>
      <c r="U45" s="5">
        <f>IF('App Log'!H45="","",'App Log'!H45)</f>
      </c>
      <c r="V45" s="5">
        <f>IF(AND('Actual Game'!H45="",'App Log'!H45=""),"",IF(TRIM('Actual Game'!H45&amp;"")=TRIM('App Log'!H45&amp;""),"MATCH","DIFF"))</f>
      </c>
      <c r="W45" s="5">
        <f>IF('Actual Game'!J45="","",'Actual Game'!J45)</f>
      </c>
      <c r="X45" s="5">
        <f>IF('App Log'!J45="","",'App Log'!J45)</f>
      </c>
      <c r="Y45" s="5">
        <f>IF(AND('Actual Game'!J45="",'App Log'!J45=""),"",IF(TRIM('Actual Game'!J45&amp;"")=TRIM('App Log'!J45&amp;""),"MATCH","DIFF"))</f>
      </c>
      <c r="Z45" s="5">
        <f>IF('Actual Game'!K45="","",'Actual Game'!K45)</f>
      </c>
      <c r="AA45" s="5">
        <f>IF('App Log'!K45="","",'App Log'!K45)</f>
      </c>
      <c r="AB45" s="5">
        <f>IF(AND('Actual Game'!K45="",'App Log'!K45=""),"",IF(TRIM('Actual Game'!K45&amp;"")=TRIM('App Log'!K45&amp;""),"MATCH","DIFF"))</f>
      </c>
      <c r="AC45" s="5">
        <f>IF(AND('Actual Game'!A45="",'App Log'!A45=""),"",IF(COUNTIF(D45:AB45,"DIFF")=0,"MATCH","CHECK"))</f>
      </c>
    </row>
    <row r="46" ht="19" customHeight="1">
      <c r="A46" s="5"/>
      <c r="B46" s="5">
        <f>IF('Actual Game'!B46="","",'Actual Game'!B46)</f>
      </c>
      <c r="C46" s="5">
        <f>IF('App Log'!B46="","",'App Log'!B46)</f>
      </c>
      <c r="D46" s="5">
        <f>IF(AND('Actual Game'!B46="",'App Log'!B46=""),"",IF(TRIM('Actual Game'!B46&amp;"")=TRIM('App Log'!B46&amp;""),"MATCH","DIFF"))</f>
      </c>
      <c r="E46" s="5">
        <f>IF('Actual Game'!C46="","",'Actual Game'!C46)</f>
      </c>
      <c r="F46" s="5">
        <f>IF('App Log'!C46="","",'App Log'!C46)</f>
      </c>
      <c r="G46" s="5">
        <f>IF(AND('Actual Game'!C46="",'App Log'!C46=""),"",IF(TRIM('Actual Game'!C46&amp;"")=TRIM('App Log'!C46&amp;""),"MATCH","DIFF"))</f>
      </c>
      <c r="H46" s="5">
        <f>IF('Actual Game'!D46="","",'Actual Game'!D46)</f>
      </c>
      <c r="I46" s="5">
        <f>IF('App Log'!D46="","",'App Log'!D46)</f>
      </c>
      <c r="J46" s="5">
        <f>IF(AND('Actual Game'!D46="",'App Log'!D46=""),"",IF(TRIM('Actual Game'!D46&amp;"")=TRIM('App Log'!D46&amp;""),"MATCH","DIFF"))</f>
      </c>
      <c r="K46" s="5">
        <f>IF('Actual Game'!E46="","",'Actual Game'!E46)</f>
      </c>
      <c r="L46" s="5">
        <f>IF('App Log'!E46="","",'App Log'!E46)</f>
      </c>
      <c r="M46" s="5">
        <f>IF(AND('Actual Game'!E46="",'App Log'!E46=""),"",IF(TRIM('Actual Game'!E46&amp;"")=TRIM('App Log'!E46&amp;""),"MATCH","DIFF"))</f>
      </c>
      <c r="N46" s="5">
        <f>IF('Actual Game'!F46="","",'Actual Game'!F46)</f>
      </c>
      <c r="O46" s="5">
        <f>IF('App Log'!F46="","",'App Log'!F46)</f>
      </c>
      <c r="P46" s="5">
        <f>IF(AND('Actual Game'!F46="",'App Log'!F46=""),"",IF(TRIM('Actual Game'!F46&amp;"")=TRIM('App Log'!F46&amp;""),"MATCH","DIFF"))</f>
      </c>
      <c r="Q46" s="5">
        <f>IF('Actual Game'!I46="","",'Actual Game'!I46)</f>
      </c>
      <c r="R46" s="5">
        <f>IF('App Log'!I46="","",'App Log'!I46)</f>
      </c>
      <c r="S46" s="5">
        <f>IF(AND('Actual Game'!I46="",'App Log'!I46=""),"",IF(TRIM('Actual Game'!I46&amp;"")=TRIM('App Log'!I46&amp;""),"MATCH","DIFF"))</f>
      </c>
      <c r="T46" s="5">
        <f>IF('Actual Game'!H46="","",'Actual Game'!H46)</f>
      </c>
      <c r="U46" s="5">
        <f>IF('App Log'!H46="","",'App Log'!H46)</f>
      </c>
      <c r="V46" s="5">
        <f>IF(AND('Actual Game'!H46="",'App Log'!H46=""),"",IF(TRIM('Actual Game'!H46&amp;"")=TRIM('App Log'!H46&amp;""),"MATCH","DIFF"))</f>
      </c>
      <c r="W46" s="5">
        <f>IF('Actual Game'!J46="","",'Actual Game'!J46)</f>
      </c>
      <c r="X46" s="5">
        <f>IF('App Log'!J46="","",'App Log'!J46)</f>
      </c>
      <c r="Y46" s="5">
        <f>IF(AND('Actual Game'!J46="",'App Log'!J46=""),"",IF(TRIM('Actual Game'!J46&amp;"")=TRIM('App Log'!J46&amp;""),"MATCH","DIFF"))</f>
      </c>
      <c r="Z46" s="5">
        <f>IF('Actual Game'!K46="","",'Actual Game'!K46)</f>
      </c>
      <c r="AA46" s="5">
        <f>IF('App Log'!K46="","",'App Log'!K46)</f>
      </c>
      <c r="AB46" s="5">
        <f>IF(AND('Actual Game'!K46="",'App Log'!K46=""),"",IF(TRIM('Actual Game'!K46&amp;"")=TRIM('App Log'!K46&amp;""),"MATCH","DIFF"))</f>
      </c>
      <c r="AC46" s="5">
        <f>IF(AND('Actual Game'!A46="",'App Log'!A46=""),"",IF(COUNTIF(D46:AB46,"DIFF")=0,"MATCH","CHECK"))</f>
      </c>
    </row>
    <row r="47" ht="19" customHeight="1">
      <c r="A47" s="5"/>
      <c r="B47" s="5">
        <f>IF('Actual Game'!B47="","",'Actual Game'!B47)</f>
      </c>
      <c r="C47" s="5">
        <f>IF('App Log'!B47="","",'App Log'!B47)</f>
      </c>
      <c r="D47" s="5">
        <f>IF(AND('Actual Game'!B47="",'App Log'!B47=""),"",IF(TRIM('Actual Game'!B47&amp;"")=TRIM('App Log'!B47&amp;""),"MATCH","DIFF"))</f>
      </c>
      <c r="E47" s="5">
        <f>IF('Actual Game'!C47="","",'Actual Game'!C47)</f>
      </c>
      <c r="F47" s="5">
        <f>IF('App Log'!C47="","",'App Log'!C47)</f>
      </c>
      <c r="G47" s="5">
        <f>IF(AND('Actual Game'!C47="",'App Log'!C47=""),"",IF(TRIM('Actual Game'!C47&amp;"")=TRIM('App Log'!C47&amp;""),"MATCH","DIFF"))</f>
      </c>
      <c r="H47" s="5">
        <f>IF('Actual Game'!D47="","",'Actual Game'!D47)</f>
      </c>
      <c r="I47" s="5">
        <f>IF('App Log'!D47="","",'App Log'!D47)</f>
      </c>
      <c r="J47" s="5">
        <f>IF(AND('Actual Game'!D47="",'App Log'!D47=""),"",IF(TRIM('Actual Game'!D47&amp;"")=TRIM('App Log'!D47&amp;""),"MATCH","DIFF"))</f>
      </c>
      <c r="K47" s="5">
        <f>IF('Actual Game'!E47="","",'Actual Game'!E47)</f>
      </c>
      <c r="L47" s="5">
        <f>IF('App Log'!E47="","",'App Log'!E47)</f>
      </c>
      <c r="M47" s="5">
        <f>IF(AND('Actual Game'!E47="",'App Log'!E47=""),"",IF(TRIM('Actual Game'!E47&amp;"")=TRIM('App Log'!E47&amp;""),"MATCH","DIFF"))</f>
      </c>
      <c r="N47" s="5">
        <f>IF('Actual Game'!F47="","",'Actual Game'!F47)</f>
      </c>
      <c r="O47" s="5">
        <f>IF('App Log'!F47="","",'App Log'!F47)</f>
      </c>
      <c r="P47" s="5">
        <f>IF(AND('Actual Game'!F47="",'App Log'!F47=""),"",IF(TRIM('Actual Game'!F47&amp;"")=TRIM('App Log'!F47&amp;""),"MATCH","DIFF"))</f>
      </c>
      <c r="Q47" s="5">
        <f>IF('Actual Game'!I47="","",'Actual Game'!I47)</f>
      </c>
      <c r="R47" s="5">
        <f>IF('App Log'!I47="","",'App Log'!I47)</f>
      </c>
      <c r="S47" s="5">
        <f>IF(AND('Actual Game'!I47="",'App Log'!I47=""),"",IF(TRIM('Actual Game'!I47&amp;"")=TRIM('App Log'!I47&amp;""),"MATCH","DIFF"))</f>
      </c>
      <c r="T47" s="5">
        <f>IF('Actual Game'!H47="","",'Actual Game'!H47)</f>
      </c>
      <c r="U47" s="5">
        <f>IF('App Log'!H47="","",'App Log'!H47)</f>
      </c>
      <c r="V47" s="5">
        <f>IF(AND('Actual Game'!H47="",'App Log'!H47=""),"",IF(TRIM('Actual Game'!H47&amp;"")=TRIM('App Log'!H47&amp;""),"MATCH","DIFF"))</f>
      </c>
      <c r="W47" s="5">
        <f>IF('Actual Game'!J47="","",'Actual Game'!J47)</f>
      </c>
      <c r="X47" s="5">
        <f>IF('App Log'!J47="","",'App Log'!J47)</f>
      </c>
      <c r="Y47" s="5">
        <f>IF(AND('Actual Game'!J47="",'App Log'!J47=""),"",IF(TRIM('Actual Game'!J47&amp;"")=TRIM('App Log'!J47&amp;""),"MATCH","DIFF"))</f>
      </c>
      <c r="Z47" s="5">
        <f>IF('Actual Game'!K47="","",'Actual Game'!K47)</f>
      </c>
      <c r="AA47" s="5">
        <f>IF('App Log'!K47="","",'App Log'!K47)</f>
      </c>
      <c r="AB47" s="5">
        <f>IF(AND('Actual Game'!K47="",'App Log'!K47=""),"",IF(TRIM('Actual Game'!K47&amp;"")=TRIM('App Log'!K47&amp;""),"MATCH","DIFF"))</f>
      </c>
      <c r="AC47" s="5">
        <f>IF(AND('Actual Game'!A47="",'App Log'!A47=""),"",IF(COUNTIF(D47:AB47,"DIFF")=0,"MATCH","CHECK"))</f>
      </c>
    </row>
    <row r="48" ht="19" customHeight="1">
      <c r="A48" s="5"/>
      <c r="B48" s="5">
        <f>IF('Actual Game'!B48="","",'Actual Game'!B48)</f>
      </c>
      <c r="C48" s="5">
        <f>IF('App Log'!B48="","",'App Log'!B48)</f>
      </c>
      <c r="D48" s="5">
        <f>IF(AND('Actual Game'!B48="",'App Log'!B48=""),"",IF(TRIM('Actual Game'!B48&amp;"")=TRIM('App Log'!B48&amp;""),"MATCH","DIFF"))</f>
      </c>
      <c r="E48" s="5">
        <f>IF('Actual Game'!C48="","",'Actual Game'!C48)</f>
      </c>
      <c r="F48" s="5">
        <f>IF('App Log'!C48="","",'App Log'!C48)</f>
      </c>
      <c r="G48" s="5">
        <f>IF(AND('Actual Game'!C48="",'App Log'!C48=""),"",IF(TRIM('Actual Game'!C48&amp;"")=TRIM('App Log'!C48&amp;""),"MATCH","DIFF"))</f>
      </c>
      <c r="H48" s="5">
        <f>IF('Actual Game'!D48="","",'Actual Game'!D48)</f>
      </c>
      <c r="I48" s="5">
        <f>IF('App Log'!D48="","",'App Log'!D48)</f>
      </c>
      <c r="J48" s="5">
        <f>IF(AND('Actual Game'!D48="",'App Log'!D48=""),"",IF(TRIM('Actual Game'!D48&amp;"")=TRIM('App Log'!D48&amp;""),"MATCH","DIFF"))</f>
      </c>
      <c r="K48" s="5">
        <f>IF('Actual Game'!E48="","",'Actual Game'!E48)</f>
      </c>
      <c r="L48" s="5">
        <f>IF('App Log'!E48="","",'App Log'!E48)</f>
      </c>
      <c r="M48" s="5">
        <f>IF(AND('Actual Game'!E48="",'App Log'!E48=""),"",IF(TRIM('Actual Game'!E48&amp;"")=TRIM('App Log'!E48&amp;""),"MATCH","DIFF"))</f>
      </c>
      <c r="N48" s="5">
        <f>IF('Actual Game'!F48="","",'Actual Game'!F48)</f>
      </c>
      <c r="O48" s="5">
        <f>IF('App Log'!F48="","",'App Log'!F48)</f>
      </c>
      <c r="P48" s="5">
        <f>IF(AND('Actual Game'!F48="",'App Log'!F48=""),"",IF(TRIM('Actual Game'!F48&amp;"")=TRIM('App Log'!F48&amp;""),"MATCH","DIFF"))</f>
      </c>
      <c r="Q48" s="5">
        <f>IF('Actual Game'!I48="","",'Actual Game'!I48)</f>
      </c>
      <c r="R48" s="5">
        <f>IF('App Log'!I48="","",'App Log'!I48)</f>
      </c>
      <c r="S48" s="5">
        <f>IF(AND('Actual Game'!I48="",'App Log'!I48=""),"",IF(TRIM('Actual Game'!I48&amp;"")=TRIM('App Log'!I48&amp;""),"MATCH","DIFF"))</f>
      </c>
      <c r="T48" s="5">
        <f>IF('Actual Game'!H48="","",'Actual Game'!H48)</f>
      </c>
      <c r="U48" s="5">
        <f>IF('App Log'!H48="","",'App Log'!H48)</f>
      </c>
      <c r="V48" s="5">
        <f>IF(AND('Actual Game'!H48="",'App Log'!H48=""),"",IF(TRIM('Actual Game'!H48&amp;"")=TRIM('App Log'!H48&amp;""),"MATCH","DIFF"))</f>
      </c>
      <c r="W48" s="5">
        <f>IF('Actual Game'!J48="","",'Actual Game'!J48)</f>
      </c>
      <c r="X48" s="5">
        <f>IF('App Log'!J48="","",'App Log'!J48)</f>
      </c>
      <c r="Y48" s="5">
        <f>IF(AND('Actual Game'!J48="",'App Log'!J48=""),"",IF(TRIM('Actual Game'!J48&amp;"")=TRIM('App Log'!J48&amp;""),"MATCH","DIFF"))</f>
      </c>
      <c r="Z48" s="5">
        <f>IF('Actual Game'!K48="","",'Actual Game'!K48)</f>
      </c>
      <c r="AA48" s="5">
        <f>IF('App Log'!K48="","",'App Log'!K48)</f>
      </c>
      <c r="AB48" s="5">
        <f>IF(AND('Actual Game'!K48="",'App Log'!K48=""),"",IF(TRIM('Actual Game'!K48&amp;"")=TRIM('App Log'!K48&amp;""),"MATCH","DIFF"))</f>
      </c>
      <c r="AC48" s="5">
        <f>IF(AND('Actual Game'!A48="",'App Log'!A48=""),"",IF(COUNTIF(D48:AB48,"DIFF")=0,"MATCH","CHECK"))</f>
      </c>
    </row>
    <row r="49" ht="19" customHeight="1">
      <c r="A49" s="5"/>
      <c r="B49" s="5">
        <f>IF('Actual Game'!B49="","",'Actual Game'!B49)</f>
      </c>
      <c r="C49" s="5">
        <f>IF('App Log'!B49="","",'App Log'!B49)</f>
      </c>
      <c r="D49" s="5">
        <f>IF(AND('Actual Game'!B49="",'App Log'!B49=""),"",IF(TRIM('Actual Game'!B49&amp;"")=TRIM('App Log'!B49&amp;""),"MATCH","DIFF"))</f>
      </c>
      <c r="E49" s="5">
        <f>IF('Actual Game'!C49="","",'Actual Game'!C49)</f>
      </c>
      <c r="F49" s="5">
        <f>IF('App Log'!C49="","",'App Log'!C49)</f>
      </c>
      <c r="G49" s="5">
        <f>IF(AND('Actual Game'!C49="",'App Log'!C49=""),"",IF(TRIM('Actual Game'!C49&amp;"")=TRIM('App Log'!C49&amp;""),"MATCH","DIFF"))</f>
      </c>
      <c r="H49" s="5">
        <f>IF('Actual Game'!D49="","",'Actual Game'!D49)</f>
      </c>
      <c r="I49" s="5">
        <f>IF('App Log'!D49="","",'App Log'!D49)</f>
      </c>
      <c r="J49" s="5">
        <f>IF(AND('Actual Game'!D49="",'App Log'!D49=""),"",IF(TRIM('Actual Game'!D49&amp;"")=TRIM('App Log'!D49&amp;""),"MATCH","DIFF"))</f>
      </c>
      <c r="K49" s="5">
        <f>IF('Actual Game'!E49="","",'Actual Game'!E49)</f>
      </c>
      <c r="L49" s="5">
        <f>IF('App Log'!E49="","",'App Log'!E49)</f>
      </c>
      <c r="M49" s="5">
        <f>IF(AND('Actual Game'!E49="",'App Log'!E49=""),"",IF(TRIM('Actual Game'!E49&amp;"")=TRIM('App Log'!E49&amp;""),"MATCH","DIFF"))</f>
      </c>
      <c r="N49" s="5">
        <f>IF('Actual Game'!F49="","",'Actual Game'!F49)</f>
      </c>
      <c r="O49" s="5">
        <f>IF('App Log'!F49="","",'App Log'!F49)</f>
      </c>
      <c r="P49" s="5">
        <f>IF(AND('Actual Game'!F49="",'App Log'!F49=""),"",IF(TRIM('Actual Game'!F49&amp;"")=TRIM('App Log'!F49&amp;""),"MATCH","DIFF"))</f>
      </c>
      <c r="Q49" s="5">
        <f>IF('Actual Game'!I49="","",'Actual Game'!I49)</f>
      </c>
      <c r="R49" s="5">
        <f>IF('App Log'!I49="","",'App Log'!I49)</f>
      </c>
      <c r="S49" s="5">
        <f>IF(AND('Actual Game'!I49="",'App Log'!I49=""),"",IF(TRIM('Actual Game'!I49&amp;"")=TRIM('App Log'!I49&amp;""),"MATCH","DIFF"))</f>
      </c>
      <c r="T49" s="5">
        <f>IF('Actual Game'!H49="","",'Actual Game'!H49)</f>
      </c>
      <c r="U49" s="5">
        <f>IF('App Log'!H49="","",'App Log'!H49)</f>
      </c>
      <c r="V49" s="5">
        <f>IF(AND('Actual Game'!H49="",'App Log'!H49=""),"",IF(TRIM('Actual Game'!H49&amp;"")=TRIM('App Log'!H49&amp;""),"MATCH","DIFF"))</f>
      </c>
      <c r="W49" s="5">
        <f>IF('Actual Game'!J49="","",'Actual Game'!J49)</f>
      </c>
      <c r="X49" s="5">
        <f>IF('App Log'!J49="","",'App Log'!J49)</f>
      </c>
      <c r="Y49" s="5">
        <f>IF(AND('Actual Game'!J49="",'App Log'!J49=""),"",IF(TRIM('Actual Game'!J49&amp;"")=TRIM('App Log'!J49&amp;""),"MATCH","DIFF"))</f>
      </c>
      <c r="Z49" s="5">
        <f>IF('Actual Game'!K49="","",'Actual Game'!K49)</f>
      </c>
      <c r="AA49" s="5">
        <f>IF('App Log'!K49="","",'App Log'!K49)</f>
      </c>
      <c r="AB49" s="5">
        <f>IF(AND('Actual Game'!K49="",'App Log'!K49=""),"",IF(TRIM('Actual Game'!K49&amp;"")=TRIM('App Log'!K49&amp;""),"MATCH","DIFF"))</f>
      </c>
      <c r="AC49" s="5">
        <f>IF(AND('Actual Game'!A49="",'App Log'!A49=""),"",IF(COUNTIF(D49:AB49,"DIFF")=0,"MATCH","CHECK"))</f>
      </c>
    </row>
    <row r="50" ht="19" customHeight="1">
      <c r="A50" s="5"/>
      <c r="B50" s="5">
        <f>IF('Actual Game'!B50="","",'Actual Game'!B50)</f>
      </c>
      <c r="C50" s="5">
        <f>IF('App Log'!B50="","",'App Log'!B50)</f>
      </c>
      <c r="D50" s="5">
        <f>IF(AND('Actual Game'!B50="",'App Log'!B50=""),"",IF(TRIM('Actual Game'!B50&amp;"")=TRIM('App Log'!B50&amp;""),"MATCH","DIFF"))</f>
      </c>
      <c r="E50" s="5">
        <f>IF('Actual Game'!C50="","",'Actual Game'!C50)</f>
      </c>
      <c r="F50" s="5">
        <f>IF('App Log'!C50="","",'App Log'!C50)</f>
      </c>
      <c r="G50" s="5">
        <f>IF(AND('Actual Game'!C50="",'App Log'!C50=""),"",IF(TRIM('Actual Game'!C50&amp;"")=TRIM('App Log'!C50&amp;""),"MATCH","DIFF"))</f>
      </c>
      <c r="H50" s="5">
        <f>IF('Actual Game'!D50="","",'Actual Game'!D50)</f>
      </c>
      <c r="I50" s="5">
        <f>IF('App Log'!D50="","",'App Log'!D50)</f>
      </c>
      <c r="J50" s="5">
        <f>IF(AND('Actual Game'!D50="",'App Log'!D50=""),"",IF(TRIM('Actual Game'!D50&amp;"")=TRIM('App Log'!D50&amp;""),"MATCH","DIFF"))</f>
      </c>
      <c r="K50" s="5">
        <f>IF('Actual Game'!E50="","",'Actual Game'!E50)</f>
      </c>
      <c r="L50" s="5">
        <f>IF('App Log'!E50="","",'App Log'!E50)</f>
      </c>
      <c r="M50" s="5">
        <f>IF(AND('Actual Game'!E50="",'App Log'!E50=""),"",IF(TRIM('Actual Game'!E50&amp;"")=TRIM('App Log'!E50&amp;""),"MATCH","DIFF"))</f>
      </c>
      <c r="N50" s="5">
        <f>IF('Actual Game'!F50="","",'Actual Game'!F50)</f>
      </c>
      <c r="O50" s="5">
        <f>IF('App Log'!F50="","",'App Log'!F50)</f>
      </c>
      <c r="P50" s="5">
        <f>IF(AND('Actual Game'!F50="",'App Log'!F50=""),"",IF(TRIM('Actual Game'!F50&amp;"")=TRIM('App Log'!F50&amp;""),"MATCH","DIFF"))</f>
      </c>
      <c r="Q50" s="5">
        <f>IF('Actual Game'!I50="","",'Actual Game'!I50)</f>
      </c>
      <c r="R50" s="5">
        <f>IF('App Log'!I50="","",'App Log'!I50)</f>
      </c>
      <c r="S50" s="5">
        <f>IF(AND('Actual Game'!I50="",'App Log'!I50=""),"",IF(TRIM('Actual Game'!I50&amp;"")=TRIM('App Log'!I50&amp;""),"MATCH","DIFF"))</f>
      </c>
      <c r="T50" s="5">
        <f>IF('Actual Game'!H50="","",'Actual Game'!H50)</f>
      </c>
      <c r="U50" s="5">
        <f>IF('App Log'!H50="","",'App Log'!H50)</f>
      </c>
      <c r="V50" s="5">
        <f>IF(AND('Actual Game'!H50="",'App Log'!H50=""),"",IF(TRIM('Actual Game'!H50&amp;"")=TRIM('App Log'!H50&amp;""),"MATCH","DIFF"))</f>
      </c>
      <c r="W50" s="5">
        <f>IF('Actual Game'!J50="","",'Actual Game'!J50)</f>
      </c>
      <c r="X50" s="5">
        <f>IF('App Log'!J50="","",'App Log'!J50)</f>
      </c>
      <c r="Y50" s="5">
        <f>IF(AND('Actual Game'!J50="",'App Log'!J50=""),"",IF(TRIM('Actual Game'!J50&amp;"")=TRIM('App Log'!J50&amp;""),"MATCH","DIFF"))</f>
      </c>
      <c r="Z50" s="5">
        <f>IF('Actual Game'!K50="","",'Actual Game'!K50)</f>
      </c>
      <c r="AA50" s="5">
        <f>IF('App Log'!K50="","",'App Log'!K50)</f>
      </c>
      <c r="AB50" s="5">
        <f>IF(AND('Actual Game'!K50="",'App Log'!K50=""),"",IF(TRIM('Actual Game'!K50&amp;"")=TRIM('App Log'!K50&amp;""),"MATCH","DIFF"))</f>
      </c>
      <c r="AC50" s="5">
        <f>IF(AND('Actual Game'!A50="",'App Log'!A50=""),"",IF(COUNTIF(D50:AB50,"DIFF")=0,"MATCH","CHECK"))</f>
      </c>
    </row>
    <row r="51" ht="19" customHeight="1">
      <c r="A51" s="5"/>
      <c r="B51" s="5">
        <f>IF('Actual Game'!B51="","",'Actual Game'!B51)</f>
      </c>
      <c r="C51" s="5">
        <f>IF('App Log'!B51="","",'App Log'!B51)</f>
      </c>
      <c r="D51" s="5">
        <f>IF(AND('Actual Game'!B51="",'App Log'!B51=""),"",IF(TRIM('Actual Game'!B51&amp;"")=TRIM('App Log'!B51&amp;""),"MATCH","DIFF"))</f>
      </c>
      <c r="E51" s="5">
        <f>IF('Actual Game'!C51="","",'Actual Game'!C51)</f>
      </c>
      <c r="F51" s="5">
        <f>IF('App Log'!C51="","",'App Log'!C51)</f>
      </c>
      <c r="G51" s="5">
        <f>IF(AND('Actual Game'!C51="",'App Log'!C51=""),"",IF(TRIM('Actual Game'!C51&amp;"")=TRIM('App Log'!C51&amp;""),"MATCH","DIFF"))</f>
      </c>
      <c r="H51" s="5">
        <f>IF('Actual Game'!D51="","",'Actual Game'!D51)</f>
      </c>
      <c r="I51" s="5">
        <f>IF('App Log'!D51="","",'App Log'!D51)</f>
      </c>
      <c r="J51" s="5">
        <f>IF(AND('Actual Game'!D51="",'App Log'!D51=""),"",IF(TRIM('Actual Game'!D51&amp;"")=TRIM('App Log'!D51&amp;""),"MATCH","DIFF"))</f>
      </c>
      <c r="K51" s="5">
        <f>IF('Actual Game'!E51="","",'Actual Game'!E51)</f>
      </c>
      <c r="L51" s="5">
        <f>IF('App Log'!E51="","",'App Log'!E51)</f>
      </c>
      <c r="M51" s="5">
        <f>IF(AND('Actual Game'!E51="",'App Log'!E51=""),"",IF(TRIM('Actual Game'!E51&amp;"")=TRIM('App Log'!E51&amp;""),"MATCH","DIFF"))</f>
      </c>
      <c r="N51" s="5">
        <f>IF('Actual Game'!F51="","",'Actual Game'!F51)</f>
      </c>
      <c r="O51" s="5">
        <f>IF('App Log'!F51="","",'App Log'!F51)</f>
      </c>
      <c r="P51" s="5">
        <f>IF(AND('Actual Game'!F51="",'App Log'!F51=""),"",IF(TRIM('Actual Game'!F51&amp;"")=TRIM('App Log'!F51&amp;""),"MATCH","DIFF"))</f>
      </c>
      <c r="Q51" s="5">
        <f>IF('Actual Game'!I51="","",'Actual Game'!I51)</f>
      </c>
      <c r="R51" s="5">
        <f>IF('App Log'!I51="","",'App Log'!I51)</f>
      </c>
      <c r="S51" s="5">
        <f>IF(AND('Actual Game'!I51="",'App Log'!I51=""),"",IF(TRIM('Actual Game'!I51&amp;"")=TRIM('App Log'!I51&amp;""),"MATCH","DIFF"))</f>
      </c>
      <c r="T51" s="5">
        <f>IF('Actual Game'!H51="","",'Actual Game'!H51)</f>
      </c>
      <c r="U51" s="5">
        <f>IF('App Log'!H51="","",'App Log'!H51)</f>
      </c>
      <c r="V51" s="5">
        <f>IF(AND('Actual Game'!H51="",'App Log'!H51=""),"",IF(TRIM('Actual Game'!H51&amp;"")=TRIM('App Log'!H51&amp;""),"MATCH","DIFF"))</f>
      </c>
      <c r="W51" s="5">
        <f>IF('Actual Game'!J51="","",'Actual Game'!J51)</f>
      </c>
      <c r="X51" s="5">
        <f>IF('App Log'!J51="","",'App Log'!J51)</f>
      </c>
      <c r="Y51" s="5">
        <f>IF(AND('Actual Game'!J51="",'App Log'!J51=""),"",IF(TRIM('Actual Game'!J51&amp;"")=TRIM('App Log'!J51&amp;""),"MATCH","DIFF"))</f>
      </c>
      <c r="Z51" s="5">
        <f>IF('Actual Game'!K51="","",'Actual Game'!K51)</f>
      </c>
      <c r="AA51" s="5">
        <f>IF('App Log'!K51="","",'App Log'!K51)</f>
      </c>
      <c r="AB51" s="5">
        <f>IF(AND('Actual Game'!K51="",'App Log'!K51=""),"",IF(TRIM('Actual Game'!K51&amp;"")=TRIM('App Log'!K51&amp;""),"MATCH","DIFF"))</f>
      </c>
      <c r="AC51" s="5">
        <f>IF(AND('Actual Game'!A51="",'App Log'!A51=""),"",IF(COUNTIF(D51:AB51,"DIFF")=0,"MATCH","CHECK"))</f>
      </c>
    </row>
    <row r="52" ht="19" customHeight="1">
      <c r="A52" s="5"/>
      <c r="B52" s="5">
        <f>IF('Actual Game'!B52="","",'Actual Game'!B52)</f>
      </c>
      <c r="C52" s="5">
        <f>IF('App Log'!B52="","",'App Log'!B52)</f>
      </c>
      <c r="D52" s="5">
        <f>IF(AND('Actual Game'!B52="",'App Log'!B52=""),"",IF(TRIM('Actual Game'!B52&amp;"")=TRIM('App Log'!B52&amp;""),"MATCH","DIFF"))</f>
      </c>
      <c r="E52" s="5">
        <f>IF('Actual Game'!C52="","",'Actual Game'!C52)</f>
      </c>
      <c r="F52" s="5">
        <f>IF('App Log'!C52="","",'App Log'!C52)</f>
      </c>
      <c r="G52" s="5">
        <f>IF(AND('Actual Game'!C52="",'App Log'!C52=""),"",IF(TRIM('Actual Game'!C52&amp;"")=TRIM('App Log'!C52&amp;""),"MATCH","DIFF"))</f>
      </c>
      <c r="H52" s="5">
        <f>IF('Actual Game'!D52="","",'Actual Game'!D52)</f>
      </c>
      <c r="I52" s="5">
        <f>IF('App Log'!D52="","",'App Log'!D52)</f>
      </c>
      <c r="J52" s="5">
        <f>IF(AND('Actual Game'!D52="",'App Log'!D52=""),"",IF(TRIM('Actual Game'!D52&amp;"")=TRIM('App Log'!D52&amp;""),"MATCH","DIFF"))</f>
      </c>
      <c r="K52" s="5">
        <f>IF('Actual Game'!E52="","",'Actual Game'!E52)</f>
      </c>
      <c r="L52" s="5">
        <f>IF('App Log'!E52="","",'App Log'!E52)</f>
      </c>
      <c r="M52" s="5">
        <f>IF(AND('Actual Game'!E52="",'App Log'!E52=""),"",IF(TRIM('Actual Game'!E52&amp;"")=TRIM('App Log'!E52&amp;""),"MATCH","DIFF"))</f>
      </c>
      <c r="N52" s="5">
        <f>IF('Actual Game'!F52="","",'Actual Game'!F52)</f>
      </c>
      <c r="O52" s="5">
        <f>IF('App Log'!F52="","",'App Log'!F52)</f>
      </c>
      <c r="P52" s="5">
        <f>IF(AND('Actual Game'!F52="",'App Log'!F52=""),"",IF(TRIM('Actual Game'!F52&amp;"")=TRIM('App Log'!F52&amp;""),"MATCH","DIFF"))</f>
      </c>
      <c r="Q52" s="5">
        <f>IF('Actual Game'!I52="","",'Actual Game'!I52)</f>
      </c>
      <c r="R52" s="5">
        <f>IF('App Log'!I52="","",'App Log'!I52)</f>
      </c>
      <c r="S52" s="5">
        <f>IF(AND('Actual Game'!I52="",'App Log'!I52=""),"",IF(TRIM('Actual Game'!I52&amp;"")=TRIM('App Log'!I52&amp;""),"MATCH","DIFF"))</f>
      </c>
      <c r="T52" s="5">
        <f>IF('Actual Game'!H52="","",'Actual Game'!H52)</f>
      </c>
      <c r="U52" s="5">
        <f>IF('App Log'!H52="","",'App Log'!H52)</f>
      </c>
      <c r="V52" s="5">
        <f>IF(AND('Actual Game'!H52="",'App Log'!H52=""),"",IF(TRIM('Actual Game'!H52&amp;"")=TRIM('App Log'!H52&amp;""),"MATCH","DIFF"))</f>
      </c>
      <c r="W52" s="5">
        <f>IF('Actual Game'!J52="","",'Actual Game'!J52)</f>
      </c>
      <c r="X52" s="5">
        <f>IF('App Log'!J52="","",'App Log'!J52)</f>
      </c>
      <c r="Y52" s="5">
        <f>IF(AND('Actual Game'!J52="",'App Log'!J52=""),"",IF(TRIM('Actual Game'!J52&amp;"")=TRIM('App Log'!J52&amp;""),"MATCH","DIFF"))</f>
      </c>
      <c r="Z52" s="5">
        <f>IF('Actual Game'!K52="","",'Actual Game'!K52)</f>
      </c>
      <c r="AA52" s="5">
        <f>IF('App Log'!K52="","",'App Log'!K52)</f>
      </c>
      <c r="AB52" s="5">
        <f>IF(AND('Actual Game'!K52="",'App Log'!K52=""),"",IF(TRIM('Actual Game'!K52&amp;"")=TRIM('App Log'!K52&amp;""),"MATCH","DIFF"))</f>
      </c>
      <c r="AC52" s="5">
        <f>IF(AND('Actual Game'!A52="",'App Log'!A52=""),"",IF(COUNTIF(D52:AB52,"DIFF")=0,"MATCH","CHECK"))</f>
      </c>
    </row>
    <row r="53" ht="19" customHeight="1">
      <c r="A53" s="5"/>
      <c r="B53" s="5">
        <f>IF('Actual Game'!B53="","",'Actual Game'!B53)</f>
      </c>
      <c r="C53" s="5">
        <f>IF('App Log'!B53="","",'App Log'!B53)</f>
      </c>
      <c r="D53" s="5">
        <f>IF(AND('Actual Game'!B53="",'App Log'!B53=""),"",IF(TRIM('Actual Game'!B53&amp;"")=TRIM('App Log'!B53&amp;""),"MATCH","DIFF"))</f>
      </c>
      <c r="E53" s="5">
        <f>IF('Actual Game'!C53="","",'Actual Game'!C53)</f>
      </c>
      <c r="F53" s="5">
        <f>IF('App Log'!C53="","",'App Log'!C53)</f>
      </c>
      <c r="G53" s="5">
        <f>IF(AND('Actual Game'!C53="",'App Log'!C53=""),"",IF(TRIM('Actual Game'!C53&amp;"")=TRIM('App Log'!C53&amp;""),"MATCH","DIFF"))</f>
      </c>
      <c r="H53" s="5">
        <f>IF('Actual Game'!D53="","",'Actual Game'!D53)</f>
      </c>
      <c r="I53" s="5">
        <f>IF('App Log'!D53="","",'App Log'!D53)</f>
      </c>
      <c r="J53" s="5">
        <f>IF(AND('Actual Game'!D53="",'App Log'!D53=""),"",IF(TRIM('Actual Game'!D53&amp;"")=TRIM('App Log'!D53&amp;""),"MATCH","DIFF"))</f>
      </c>
      <c r="K53" s="5">
        <f>IF('Actual Game'!E53="","",'Actual Game'!E53)</f>
      </c>
      <c r="L53" s="5">
        <f>IF('App Log'!E53="","",'App Log'!E53)</f>
      </c>
      <c r="M53" s="5">
        <f>IF(AND('Actual Game'!E53="",'App Log'!E53=""),"",IF(TRIM('Actual Game'!E53&amp;"")=TRIM('App Log'!E53&amp;""),"MATCH","DIFF"))</f>
      </c>
      <c r="N53" s="5">
        <f>IF('Actual Game'!F53="","",'Actual Game'!F53)</f>
      </c>
      <c r="O53" s="5">
        <f>IF('App Log'!F53="","",'App Log'!F53)</f>
      </c>
      <c r="P53" s="5">
        <f>IF(AND('Actual Game'!F53="",'App Log'!F53=""),"",IF(TRIM('Actual Game'!F53&amp;"")=TRIM('App Log'!F53&amp;""),"MATCH","DIFF"))</f>
      </c>
      <c r="Q53" s="5">
        <f>IF('Actual Game'!I53="","",'Actual Game'!I53)</f>
      </c>
      <c r="R53" s="5">
        <f>IF('App Log'!I53="","",'App Log'!I53)</f>
      </c>
      <c r="S53" s="5">
        <f>IF(AND('Actual Game'!I53="",'App Log'!I53=""),"",IF(TRIM('Actual Game'!I53&amp;"")=TRIM('App Log'!I53&amp;""),"MATCH","DIFF"))</f>
      </c>
      <c r="T53" s="5">
        <f>IF('Actual Game'!H53="","",'Actual Game'!H53)</f>
      </c>
      <c r="U53" s="5">
        <f>IF('App Log'!H53="","",'App Log'!H53)</f>
      </c>
      <c r="V53" s="5">
        <f>IF(AND('Actual Game'!H53="",'App Log'!H53=""),"",IF(TRIM('Actual Game'!H53&amp;"")=TRIM('App Log'!H53&amp;""),"MATCH","DIFF"))</f>
      </c>
      <c r="W53" s="5">
        <f>IF('Actual Game'!J53="","",'Actual Game'!J53)</f>
      </c>
      <c r="X53" s="5">
        <f>IF('App Log'!J53="","",'App Log'!J53)</f>
      </c>
      <c r="Y53" s="5">
        <f>IF(AND('Actual Game'!J53="",'App Log'!J53=""),"",IF(TRIM('Actual Game'!J53&amp;"")=TRIM('App Log'!J53&amp;""),"MATCH","DIFF"))</f>
      </c>
      <c r="Z53" s="5">
        <f>IF('Actual Game'!K53="","",'Actual Game'!K53)</f>
      </c>
      <c r="AA53" s="5">
        <f>IF('App Log'!K53="","",'App Log'!K53)</f>
      </c>
      <c r="AB53" s="5">
        <f>IF(AND('Actual Game'!K53="",'App Log'!K53=""),"",IF(TRIM('Actual Game'!K53&amp;"")=TRIM('App Log'!K53&amp;""),"MATCH","DIFF"))</f>
      </c>
      <c r="AC53" s="5">
        <f>IF(AND('Actual Game'!A53="",'App Log'!A53=""),"",IF(COUNTIF(D53:AB53,"DIFF")=0,"MATCH","CHECK"))</f>
      </c>
    </row>
    <row r="54" ht="19" customHeight="1">
      <c r="A54" s="5"/>
      <c r="B54" s="5">
        <f>IF('Actual Game'!B54="","",'Actual Game'!B54)</f>
      </c>
      <c r="C54" s="5">
        <f>IF('App Log'!B54="","",'App Log'!B54)</f>
      </c>
      <c r="D54" s="5">
        <f>IF(AND('Actual Game'!B54="",'App Log'!B54=""),"",IF(TRIM('Actual Game'!B54&amp;"")=TRIM('App Log'!B54&amp;""),"MATCH","DIFF"))</f>
      </c>
      <c r="E54" s="5">
        <f>IF('Actual Game'!C54="","",'Actual Game'!C54)</f>
      </c>
      <c r="F54" s="5">
        <f>IF('App Log'!C54="","",'App Log'!C54)</f>
      </c>
      <c r="G54" s="5">
        <f>IF(AND('Actual Game'!C54="",'App Log'!C54=""),"",IF(TRIM('Actual Game'!C54&amp;"")=TRIM('App Log'!C54&amp;""),"MATCH","DIFF"))</f>
      </c>
      <c r="H54" s="5">
        <f>IF('Actual Game'!D54="","",'Actual Game'!D54)</f>
      </c>
      <c r="I54" s="5">
        <f>IF('App Log'!D54="","",'App Log'!D54)</f>
      </c>
      <c r="J54" s="5">
        <f>IF(AND('Actual Game'!D54="",'App Log'!D54=""),"",IF(TRIM('Actual Game'!D54&amp;"")=TRIM('App Log'!D54&amp;""),"MATCH","DIFF"))</f>
      </c>
      <c r="K54" s="5">
        <f>IF('Actual Game'!E54="","",'Actual Game'!E54)</f>
      </c>
      <c r="L54" s="5">
        <f>IF('App Log'!E54="","",'App Log'!E54)</f>
      </c>
      <c r="M54" s="5">
        <f>IF(AND('Actual Game'!E54="",'App Log'!E54=""),"",IF(TRIM('Actual Game'!E54&amp;"")=TRIM('App Log'!E54&amp;""),"MATCH","DIFF"))</f>
      </c>
      <c r="N54" s="5">
        <f>IF('Actual Game'!F54="","",'Actual Game'!F54)</f>
      </c>
      <c r="O54" s="5">
        <f>IF('App Log'!F54="","",'App Log'!F54)</f>
      </c>
      <c r="P54" s="5">
        <f>IF(AND('Actual Game'!F54="",'App Log'!F54=""),"",IF(TRIM('Actual Game'!F54&amp;"")=TRIM('App Log'!F54&amp;""),"MATCH","DIFF"))</f>
      </c>
      <c r="Q54" s="5">
        <f>IF('Actual Game'!I54="","",'Actual Game'!I54)</f>
      </c>
      <c r="R54" s="5">
        <f>IF('App Log'!I54="","",'App Log'!I54)</f>
      </c>
      <c r="S54" s="5">
        <f>IF(AND('Actual Game'!I54="",'App Log'!I54=""),"",IF(TRIM('Actual Game'!I54&amp;"")=TRIM('App Log'!I54&amp;""),"MATCH","DIFF"))</f>
      </c>
      <c r="T54" s="5">
        <f>IF('Actual Game'!H54="","",'Actual Game'!H54)</f>
      </c>
      <c r="U54" s="5">
        <f>IF('App Log'!H54="","",'App Log'!H54)</f>
      </c>
      <c r="V54" s="5">
        <f>IF(AND('Actual Game'!H54="",'App Log'!H54=""),"",IF(TRIM('Actual Game'!H54&amp;"")=TRIM('App Log'!H54&amp;""),"MATCH","DIFF"))</f>
      </c>
      <c r="W54" s="5">
        <f>IF('Actual Game'!J54="","",'Actual Game'!J54)</f>
      </c>
      <c r="X54" s="5">
        <f>IF('App Log'!J54="","",'App Log'!J54)</f>
      </c>
      <c r="Y54" s="5">
        <f>IF(AND('Actual Game'!J54="",'App Log'!J54=""),"",IF(TRIM('Actual Game'!J54&amp;"")=TRIM('App Log'!J54&amp;""),"MATCH","DIFF"))</f>
      </c>
      <c r="Z54" s="5">
        <f>IF('Actual Game'!K54="","",'Actual Game'!K54)</f>
      </c>
      <c r="AA54" s="5">
        <f>IF('App Log'!K54="","",'App Log'!K54)</f>
      </c>
      <c r="AB54" s="5">
        <f>IF(AND('Actual Game'!K54="",'App Log'!K54=""),"",IF(TRIM('Actual Game'!K54&amp;"")=TRIM('App Log'!K54&amp;""),"MATCH","DIFF"))</f>
      </c>
      <c r="AC54" s="5">
        <f>IF(AND('Actual Game'!A54="",'App Log'!A54=""),"",IF(COUNTIF(D54:AB54,"DIFF")=0,"MATCH","CHECK"))</f>
      </c>
    </row>
    <row r="55" ht="19" customHeight="1">
      <c r="A55" s="5"/>
      <c r="B55" s="5">
        <f>IF('Actual Game'!B55="","",'Actual Game'!B55)</f>
      </c>
      <c r="C55" s="5">
        <f>IF('App Log'!B55="","",'App Log'!B55)</f>
      </c>
      <c r="D55" s="5">
        <f>IF(AND('Actual Game'!B55="",'App Log'!B55=""),"",IF(TRIM('Actual Game'!B55&amp;"")=TRIM('App Log'!B55&amp;""),"MATCH","DIFF"))</f>
      </c>
      <c r="E55" s="5">
        <f>IF('Actual Game'!C55="","",'Actual Game'!C55)</f>
      </c>
      <c r="F55" s="5">
        <f>IF('App Log'!C55="","",'App Log'!C55)</f>
      </c>
      <c r="G55" s="5">
        <f>IF(AND('Actual Game'!C55="",'App Log'!C55=""),"",IF(TRIM('Actual Game'!C55&amp;"")=TRIM('App Log'!C55&amp;""),"MATCH","DIFF"))</f>
      </c>
      <c r="H55" s="5">
        <f>IF('Actual Game'!D55="","",'Actual Game'!D55)</f>
      </c>
      <c r="I55" s="5">
        <f>IF('App Log'!D55="","",'App Log'!D55)</f>
      </c>
      <c r="J55" s="5">
        <f>IF(AND('Actual Game'!D55="",'App Log'!D55=""),"",IF(TRIM('Actual Game'!D55&amp;"")=TRIM('App Log'!D55&amp;""),"MATCH","DIFF"))</f>
      </c>
      <c r="K55" s="5">
        <f>IF('Actual Game'!E55="","",'Actual Game'!E55)</f>
      </c>
      <c r="L55" s="5">
        <f>IF('App Log'!E55="","",'App Log'!E55)</f>
      </c>
      <c r="M55" s="5">
        <f>IF(AND('Actual Game'!E55="",'App Log'!E55=""),"",IF(TRIM('Actual Game'!E55&amp;"")=TRIM('App Log'!E55&amp;""),"MATCH","DIFF"))</f>
      </c>
      <c r="N55" s="5">
        <f>IF('Actual Game'!F55="","",'Actual Game'!F55)</f>
      </c>
      <c r="O55" s="5">
        <f>IF('App Log'!F55="","",'App Log'!F55)</f>
      </c>
      <c r="P55" s="5">
        <f>IF(AND('Actual Game'!F55="",'App Log'!F55=""),"",IF(TRIM('Actual Game'!F55&amp;"")=TRIM('App Log'!F55&amp;""),"MATCH","DIFF"))</f>
      </c>
      <c r="Q55" s="5">
        <f>IF('Actual Game'!I55="","",'Actual Game'!I55)</f>
      </c>
      <c r="R55" s="5">
        <f>IF('App Log'!I55="","",'App Log'!I55)</f>
      </c>
      <c r="S55" s="5">
        <f>IF(AND('Actual Game'!I55="",'App Log'!I55=""),"",IF(TRIM('Actual Game'!I55&amp;"")=TRIM('App Log'!I55&amp;""),"MATCH","DIFF"))</f>
      </c>
      <c r="T55" s="5">
        <f>IF('Actual Game'!H55="","",'Actual Game'!H55)</f>
      </c>
      <c r="U55" s="5">
        <f>IF('App Log'!H55="","",'App Log'!H55)</f>
      </c>
      <c r="V55" s="5">
        <f>IF(AND('Actual Game'!H55="",'App Log'!H55=""),"",IF(TRIM('Actual Game'!H55&amp;"")=TRIM('App Log'!H55&amp;""),"MATCH","DIFF"))</f>
      </c>
      <c r="W55" s="5">
        <f>IF('Actual Game'!J55="","",'Actual Game'!J55)</f>
      </c>
      <c r="X55" s="5">
        <f>IF('App Log'!J55="","",'App Log'!J55)</f>
      </c>
      <c r="Y55" s="5">
        <f>IF(AND('Actual Game'!J55="",'App Log'!J55=""),"",IF(TRIM('Actual Game'!J55&amp;"")=TRIM('App Log'!J55&amp;""),"MATCH","DIFF"))</f>
      </c>
      <c r="Z55" s="5">
        <f>IF('Actual Game'!K55="","",'Actual Game'!K55)</f>
      </c>
      <c r="AA55" s="5">
        <f>IF('App Log'!K55="","",'App Log'!K55)</f>
      </c>
      <c r="AB55" s="5">
        <f>IF(AND('Actual Game'!K55="",'App Log'!K55=""),"",IF(TRIM('Actual Game'!K55&amp;"")=TRIM('App Log'!K55&amp;""),"MATCH","DIFF"))</f>
      </c>
      <c r="AC55" s="5">
        <f>IF(AND('Actual Game'!A55="",'App Log'!A55=""),"",IF(COUNTIF(D55:AB55,"DIFF")=0,"MATCH","CHECK"))</f>
      </c>
    </row>
    <row r="56" ht="19" customHeight="1">
      <c r="A56" s="5"/>
      <c r="B56" s="5">
        <f>IF('Actual Game'!B56="","",'Actual Game'!B56)</f>
      </c>
      <c r="C56" s="5">
        <f>IF('App Log'!B56="","",'App Log'!B56)</f>
      </c>
      <c r="D56" s="5">
        <f>IF(AND('Actual Game'!B56="",'App Log'!B56=""),"",IF(TRIM('Actual Game'!B56&amp;"")=TRIM('App Log'!B56&amp;""),"MATCH","DIFF"))</f>
      </c>
      <c r="E56" s="5">
        <f>IF('Actual Game'!C56="","",'Actual Game'!C56)</f>
      </c>
      <c r="F56" s="5">
        <f>IF('App Log'!C56="","",'App Log'!C56)</f>
      </c>
      <c r="G56" s="5">
        <f>IF(AND('Actual Game'!C56="",'App Log'!C56=""),"",IF(TRIM('Actual Game'!C56&amp;"")=TRIM('App Log'!C56&amp;""),"MATCH","DIFF"))</f>
      </c>
      <c r="H56" s="5">
        <f>IF('Actual Game'!D56="","",'Actual Game'!D56)</f>
      </c>
      <c r="I56" s="5">
        <f>IF('App Log'!D56="","",'App Log'!D56)</f>
      </c>
      <c r="J56" s="5">
        <f>IF(AND('Actual Game'!D56="",'App Log'!D56=""),"",IF(TRIM('Actual Game'!D56&amp;"")=TRIM('App Log'!D56&amp;""),"MATCH","DIFF"))</f>
      </c>
      <c r="K56" s="5">
        <f>IF('Actual Game'!E56="","",'Actual Game'!E56)</f>
      </c>
      <c r="L56" s="5">
        <f>IF('App Log'!E56="","",'App Log'!E56)</f>
      </c>
      <c r="M56" s="5">
        <f>IF(AND('Actual Game'!E56="",'App Log'!E56=""),"",IF(TRIM('Actual Game'!E56&amp;"")=TRIM('App Log'!E56&amp;""),"MATCH","DIFF"))</f>
      </c>
      <c r="N56" s="5">
        <f>IF('Actual Game'!F56="","",'Actual Game'!F56)</f>
      </c>
      <c r="O56" s="5">
        <f>IF('App Log'!F56="","",'App Log'!F56)</f>
      </c>
      <c r="P56" s="5">
        <f>IF(AND('Actual Game'!F56="",'App Log'!F56=""),"",IF(TRIM('Actual Game'!F56&amp;"")=TRIM('App Log'!F56&amp;""),"MATCH","DIFF"))</f>
      </c>
      <c r="Q56" s="5">
        <f>IF('Actual Game'!I56="","",'Actual Game'!I56)</f>
      </c>
      <c r="R56" s="5">
        <f>IF('App Log'!I56="","",'App Log'!I56)</f>
      </c>
      <c r="S56" s="5">
        <f>IF(AND('Actual Game'!I56="",'App Log'!I56=""),"",IF(TRIM('Actual Game'!I56&amp;"")=TRIM('App Log'!I56&amp;""),"MATCH","DIFF"))</f>
      </c>
      <c r="T56" s="5">
        <f>IF('Actual Game'!H56="","",'Actual Game'!H56)</f>
      </c>
      <c r="U56" s="5">
        <f>IF('App Log'!H56="","",'App Log'!H56)</f>
      </c>
      <c r="V56" s="5">
        <f>IF(AND('Actual Game'!H56="",'App Log'!H56=""),"",IF(TRIM('Actual Game'!H56&amp;"")=TRIM('App Log'!H56&amp;""),"MATCH","DIFF"))</f>
      </c>
      <c r="W56" s="5">
        <f>IF('Actual Game'!J56="","",'Actual Game'!J56)</f>
      </c>
      <c r="X56" s="5">
        <f>IF('App Log'!J56="","",'App Log'!J56)</f>
      </c>
      <c r="Y56" s="5">
        <f>IF(AND('Actual Game'!J56="",'App Log'!J56=""),"",IF(TRIM('Actual Game'!J56&amp;"")=TRIM('App Log'!J56&amp;""),"MATCH","DIFF"))</f>
      </c>
      <c r="Z56" s="5">
        <f>IF('Actual Game'!K56="","",'Actual Game'!K56)</f>
      </c>
      <c r="AA56" s="5">
        <f>IF('App Log'!K56="","",'App Log'!K56)</f>
      </c>
      <c r="AB56" s="5">
        <f>IF(AND('Actual Game'!K56="",'App Log'!K56=""),"",IF(TRIM('Actual Game'!K56&amp;"")=TRIM('App Log'!K56&amp;""),"MATCH","DIFF"))</f>
      </c>
      <c r="AC56" s="5">
        <f>IF(AND('Actual Game'!A56="",'App Log'!A56=""),"",IF(COUNTIF(D56:AB56,"DIFF")=0,"MATCH","CHECK"))</f>
      </c>
    </row>
    <row r="57" ht="19" customHeight="1">
      <c r="A57" s="5"/>
      <c r="B57" s="5">
        <f>IF('Actual Game'!B57="","",'Actual Game'!B57)</f>
      </c>
      <c r="C57" s="5">
        <f>IF('App Log'!B57="","",'App Log'!B57)</f>
      </c>
      <c r="D57" s="5">
        <f>IF(AND('Actual Game'!B57="",'App Log'!B57=""),"",IF(TRIM('Actual Game'!B57&amp;"")=TRIM('App Log'!B57&amp;""),"MATCH","DIFF"))</f>
      </c>
      <c r="E57" s="5">
        <f>IF('Actual Game'!C57="","",'Actual Game'!C57)</f>
      </c>
      <c r="F57" s="5">
        <f>IF('App Log'!C57="","",'App Log'!C57)</f>
      </c>
      <c r="G57" s="5">
        <f>IF(AND('Actual Game'!C57="",'App Log'!C57=""),"",IF(TRIM('Actual Game'!C57&amp;"")=TRIM('App Log'!C57&amp;""),"MATCH","DIFF"))</f>
      </c>
      <c r="H57" s="5">
        <f>IF('Actual Game'!D57="","",'Actual Game'!D57)</f>
      </c>
      <c r="I57" s="5">
        <f>IF('App Log'!D57="","",'App Log'!D57)</f>
      </c>
      <c r="J57" s="5">
        <f>IF(AND('Actual Game'!D57="",'App Log'!D57=""),"",IF(TRIM('Actual Game'!D57&amp;"")=TRIM('App Log'!D57&amp;""),"MATCH","DIFF"))</f>
      </c>
      <c r="K57" s="5">
        <f>IF('Actual Game'!E57="","",'Actual Game'!E57)</f>
      </c>
      <c r="L57" s="5">
        <f>IF('App Log'!E57="","",'App Log'!E57)</f>
      </c>
      <c r="M57" s="5">
        <f>IF(AND('Actual Game'!E57="",'App Log'!E57=""),"",IF(TRIM('Actual Game'!E57&amp;"")=TRIM('App Log'!E57&amp;""),"MATCH","DIFF"))</f>
      </c>
      <c r="N57" s="5">
        <f>IF('Actual Game'!F57="","",'Actual Game'!F57)</f>
      </c>
      <c r="O57" s="5">
        <f>IF('App Log'!F57="","",'App Log'!F57)</f>
      </c>
      <c r="P57" s="5">
        <f>IF(AND('Actual Game'!F57="",'App Log'!F57=""),"",IF(TRIM('Actual Game'!F57&amp;"")=TRIM('App Log'!F57&amp;""),"MATCH","DIFF"))</f>
      </c>
      <c r="Q57" s="5">
        <f>IF('Actual Game'!I57="","",'Actual Game'!I57)</f>
      </c>
      <c r="R57" s="5">
        <f>IF('App Log'!I57="","",'App Log'!I57)</f>
      </c>
      <c r="S57" s="5">
        <f>IF(AND('Actual Game'!I57="",'App Log'!I57=""),"",IF(TRIM('Actual Game'!I57&amp;"")=TRIM('App Log'!I57&amp;""),"MATCH","DIFF"))</f>
      </c>
      <c r="T57" s="5">
        <f>IF('Actual Game'!H57="","",'Actual Game'!H57)</f>
      </c>
      <c r="U57" s="5">
        <f>IF('App Log'!H57="","",'App Log'!H57)</f>
      </c>
      <c r="V57" s="5">
        <f>IF(AND('Actual Game'!H57="",'App Log'!H57=""),"",IF(TRIM('Actual Game'!H57&amp;"")=TRIM('App Log'!H57&amp;""),"MATCH","DIFF"))</f>
      </c>
      <c r="W57" s="5">
        <f>IF('Actual Game'!J57="","",'Actual Game'!J57)</f>
      </c>
      <c r="X57" s="5">
        <f>IF('App Log'!J57="","",'App Log'!J57)</f>
      </c>
      <c r="Y57" s="5">
        <f>IF(AND('Actual Game'!J57="",'App Log'!J57=""),"",IF(TRIM('Actual Game'!J57&amp;"")=TRIM('App Log'!J57&amp;""),"MATCH","DIFF"))</f>
      </c>
      <c r="Z57" s="5">
        <f>IF('Actual Game'!K57="","",'Actual Game'!K57)</f>
      </c>
      <c r="AA57" s="5">
        <f>IF('App Log'!K57="","",'App Log'!K57)</f>
      </c>
      <c r="AB57" s="5">
        <f>IF(AND('Actual Game'!K57="",'App Log'!K57=""),"",IF(TRIM('Actual Game'!K57&amp;"")=TRIM('App Log'!K57&amp;""),"MATCH","DIFF"))</f>
      </c>
      <c r="AC57" s="5">
        <f>IF(AND('Actual Game'!A57="",'App Log'!A57=""),"",IF(COUNTIF(D57:AB57,"DIFF")=0,"MATCH","CHECK"))</f>
      </c>
    </row>
    <row r="58" ht="19" customHeight="1">
      <c r="A58" s="5"/>
      <c r="B58" s="5">
        <f>IF('Actual Game'!B58="","",'Actual Game'!B58)</f>
      </c>
      <c r="C58" s="5">
        <f>IF('App Log'!B58="","",'App Log'!B58)</f>
      </c>
      <c r="D58" s="5">
        <f>IF(AND('Actual Game'!B58="",'App Log'!B58=""),"",IF(TRIM('Actual Game'!B58&amp;"")=TRIM('App Log'!B58&amp;""),"MATCH","DIFF"))</f>
      </c>
      <c r="E58" s="5">
        <f>IF('Actual Game'!C58="","",'Actual Game'!C58)</f>
      </c>
      <c r="F58" s="5">
        <f>IF('App Log'!C58="","",'App Log'!C58)</f>
      </c>
      <c r="G58" s="5">
        <f>IF(AND('Actual Game'!C58="",'App Log'!C58=""),"",IF(TRIM('Actual Game'!C58&amp;"")=TRIM('App Log'!C58&amp;""),"MATCH","DIFF"))</f>
      </c>
      <c r="H58" s="5">
        <f>IF('Actual Game'!D58="","",'Actual Game'!D58)</f>
      </c>
      <c r="I58" s="5">
        <f>IF('App Log'!D58="","",'App Log'!D58)</f>
      </c>
      <c r="J58" s="5">
        <f>IF(AND('Actual Game'!D58="",'App Log'!D58=""),"",IF(TRIM('Actual Game'!D58&amp;"")=TRIM('App Log'!D58&amp;""),"MATCH","DIFF"))</f>
      </c>
      <c r="K58" s="5">
        <f>IF('Actual Game'!E58="","",'Actual Game'!E58)</f>
      </c>
      <c r="L58" s="5">
        <f>IF('App Log'!E58="","",'App Log'!E58)</f>
      </c>
      <c r="M58" s="5">
        <f>IF(AND('Actual Game'!E58="",'App Log'!E58=""),"",IF(TRIM('Actual Game'!E58&amp;"")=TRIM('App Log'!E58&amp;""),"MATCH","DIFF"))</f>
      </c>
      <c r="N58" s="5">
        <f>IF('Actual Game'!F58="","",'Actual Game'!F58)</f>
      </c>
      <c r="O58" s="5">
        <f>IF('App Log'!F58="","",'App Log'!F58)</f>
      </c>
      <c r="P58" s="5">
        <f>IF(AND('Actual Game'!F58="",'App Log'!F58=""),"",IF(TRIM('Actual Game'!F58&amp;"")=TRIM('App Log'!F58&amp;""),"MATCH","DIFF"))</f>
      </c>
      <c r="Q58" s="5">
        <f>IF('Actual Game'!I58="","",'Actual Game'!I58)</f>
      </c>
      <c r="R58" s="5">
        <f>IF('App Log'!I58="","",'App Log'!I58)</f>
      </c>
      <c r="S58" s="5">
        <f>IF(AND('Actual Game'!I58="",'App Log'!I58=""),"",IF(TRIM('Actual Game'!I58&amp;"")=TRIM('App Log'!I58&amp;""),"MATCH","DIFF"))</f>
      </c>
      <c r="T58" s="5">
        <f>IF('Actual Game'!H58="","",'Actual Game'!H58)</f>
      </c>
      <c r="U58" s="5">
        <f>IF('App Log'!H58="","",'App Log'!H58)</f>
      </c>
      <c r="V58" s="5">
        <f>IF(AND('Actual Game'!H58="",'App Log'!H58=""),"",IF(TRIM('Actual Game'!H58&amp;"")=TRIM('App Log'!H58&amp;""),"MATCH","DIFF"))</f>
      </c>
      <c r="W58" s="5">
        <f>IF('Actual Game'!J58="","",'Actual Game'!J58)</f>
      </c>
      <c r="X58" s="5">
        <f>IF('App Log'!J58="","",'App Log'!J58)</f>
      </c>
      <c r="Y58" s="5">
        <f>IF(AND('Actual Game'!J58="",'App Log'!J58=""),"",IF(TRIM('Actual Game'!J58&amp;"")=TRIM('App Log'!J58&amp;""),"MATCH","DIFF"))</f>
      </c>
      <c r="Z58" s="5">
        <f>IF('Actual Game'!K58="","",'Actual Game'!K58)</f>
      </c>
      <c r="AA58" s="5">
        <f>IF('App Log'!K58="","",'App Log'!K58)</f>
      </c>
      <c r="AB58" s="5">
        <f>IF(AND('Actual Game'!K58="",'App Log'!K58=""),"",IF(TRIM('Actual Game'!K58&amp;"")=TRIM('App Log'!K58&amp;""),"MATCH","DIFF"))</f>
      </c>
      <c r="AC58" s="5">
        <f>IF(AND('Actual Game'!A58="",'App Log'!A58=""),"",IF(COUNTIF(D58:AB58,"DIFF")=0,"MATCH","CHECK"))</f>
      </c>
    </row>
    <row r="59" ht="19" customHeight="1">
      <c r="A59" s="5"/>
      <c r="B59" s="5">
        <f>IF('Actual Game'!B59="","",'Actual Game'!B59)</f>
      </c>
      <c r="C59" s="5">
        <f>IF('App Log'!B59="","",'App Log'!B59)</f>
      </c>
      <c r="D59" s="5">
        <f>IF(AND('Actual Game'!B59="",'App Log'!B59=""),"",IF(TRIM('Actual Game'!B59&amp;"")=TRIM('App Log'!B59&amp;""),"MATCH","DIFF"))</f>
      </c>
      <c r="E59" s="5">
        <f>IF('Actual Game'!C59="","",'Actual Game'!C59)</f>
      </c>
      <c r="F59" s="5">
        <f>IF('App Log'!C59="","",'App Log'!C59)</f>
      </c>
      <c r="G59" s="5">
        <f>IF(AND('Actual Game'!C59="",'App Log'!C59=""),"",IF(TRIM('Actual Game'!C59&amp;"")=TRIM('App Log'!C59&amp;""),"MATCH","DIFF"))</f>
      </c>
      <c r="H59" s="5">
        <f>IF('Actual Game'!D59="","",'Actual Game'!D59)</f>
      </c>
      <c r="I59" s="5">
        <f>IF('App Log'!D59="","",'App Log'!D59)</f>
      </c>
      <c r="J59" s="5">
        <f>IF(AND('Actual Game'!D59="",'App Log'!D59=""),"",IF(TRIM('Actual Game'!D59&amp;"")=TRIM('App Log'!D59&amp;""),"MATCH","DIFF"))</f>
      </c>
      <c r="K59" s="5">
        <f>IF('Actual Game'!E59="","",'Actual Game'!E59)</f>
      </c>
      <c r="L59" s="5">
        <f>IF('App Log'!E59="","",'App Log'!E59)</f>
      </c>
      <c r="M59" s="5">
        <f>IF(AND('Actual Game'!E59="",'App Log'!E59=""),"",IF(TRIM('Actual Game'!E59&amp;"")=TRIM('App Log'!E59&amp;""),"MATCH","DIFF"))</f>
      </c>
      <c r="N59" s="5">
        <f>IF('Actual Game'!F59="","",'Actual Game'!F59)</f>
      </c>
      <c r="O59" s="5">
        <f>IF('App Log'!F59="","",'App Log'!F59)</f>
      </c>
      <c r="P59" s="5">
        <f>IF(AND('Actual Game'!F59="",'App Log'!F59=""),"",IF(TRIM('Actual Game'!F59&amp;"")=TRIM('App Log'!F59&amp;""),"MATCH","DIFF"))</f>
      </c>
      <c r="Q59" s="5">
        <f>IF('Actual Game'!I59="","",'Actual Game'!I59)</f>
      </c>
      <c r="R59" s="5">
        <f>IF('App Log'!I59="","",'App Log'!I59)</f>
      </c>
      <c r="S59" s="5">
        <f>IF(AND('Actual Game'!I59="",'App Log'!I59=""),"",IF(TRIM('Actual Game'!I59&amp;"")=TRIM('App Log'!I59&amp;""),"MATCH","DIFF"))</f>
      </c>
      <c r="T59" s="5">
        <f>IF('Actual Game'!H59="","",'Actual Game'!H59)</f>
      </c>
      <c r="U59" s="5">
        <f>IF('App Log'!H59="","",'App Log'!H59)</f>
      </c>
      <c r="V59" s="5">
        <f>IF(AND('Actual Game'!H59="",'App Log'!H59=""),"",IF(TRIM('Actual Game'!H59&amp;"")=TRIM('App Log'!H59&amp;""),"MATCH","DIFF"))</f>
      </c>
      <c r="W59" s="5">
        <f>IF('Actual Game'!J59="","",'Actual Game'!J59)</f>
      </c>
      <c r="X59" s="5">
        <f>IF('App Log'!J59="","",'App Log'!J59)</f>
      </c>
      <c r="Y59" s="5">
        <f>IF(AND('Actual Game'!J59="",'App Log'!J59=""),"",IF(TRIM('Actual Game'!J59&amp;"")=TRIM('App Log'!J59&amp;""),"MATCH","DIFF"))</f>
      </c>
      <c r="Z59" s="5">
        <f>IF('Actual Game'!K59="","",'Actual Game'!K59)</f>
      </c>
      <c r="AA59" s="5">
        <f>IF('App Log'!K59="","",'App Log'!K59)</f>
      </c>
      <c r="AB59" s="5">
        <f>IF(AND('Actual Game'!K59="",'App Log'!K59=""),"",IF(TRIM('Actual Game'!K59&amp;"")=TRIM('App Log'!K59&amp;""),"MATCH","DIFF"))</f>
      </c>
      <c r="AC59" s="5">
        <f>IF(AND('Actual Game'!A59="",'App Log'!A59=""),"",IF(COUNTIF(D59:AB59,"DIFF")=0,"MATCH","CHECK"))</f>
      </c>
    </row>
    <row r="60" ht="19" customHeight="1">
      <c r="A60" s="5"/>
      <c r="B60" s="5">
        <f>IF('Actual Game'!B60="","",'Actual Game'!B60)</f>
      </c>
      <c r="C60" s="5">
        <f>IF('App Log'!B60="","",'App Log'!B60)</f>
      </c>
      <c r="D60" s="5">
        <f>IF(AND('Actual Game'!B60="",'App Log'!B60=""),"",IF(TRIM('Actual Game'!B60&amp;"")=TRIM('App Log'!B60&amp;""),"MATCH","DIFF"))</f>
      </c>
      <c r="E60" s="5">
        <f>IF('Actual Game'!C60="","",'Actual Game'!C60)</f>
      </c>
      <c r="F60" s="5">
        <f>IF('App Log'!C60="","",'App Log'!C60)</f>
      </c>
      <c r="G60" s="5">
        <f>IF(AND('Actual Game'!C60="",'App Log'!C60=""),"",IF(TRIM('Actual Game'!C60&amp;"")=TRIM('App Log'!C60&amp;""),"MATCH","DIFF"))</f>
      </c>
      <c r="H60" s="5">
        <f>IF('Actual Game'!D60="","",'Actual Game'!D60)</f>
      </c>
      <c r="I60" s="5">
        <f>IF('App Log'!D60="","",'App Log'!D60)</f>
      </c>
      <c r="J60" s="5">
        <f>IF(AND('Actual Game'!D60="",'App Log'!D60=""),"",IF(TRIM('Actual Game'!D60&amp;"")=TRIM('App Log'!D60&amp;""),"MATCH","DIFF"))</f>
      </c>
      <c r="K60" s="5">
        <f>IF('Actual Game'!E60="","",'Actual Game'!E60)</f>
      </c>
      <c r="L60" s="5">
        <f>IF('App Log'!E60="","",'App Log'!E60)</f>
      </c>
      <c r="M60" s="5">
        <f>IF(AND('Actual Game'!E60="",'App Log'!E60=""),"",IF(TRIM('Actual Game'!E60&amp;"")=TRIM('App Log'!E60&amp;""),"MATCH","DIFF"))</f>
      </c>
      <c r="N60" s="5">
        <f>IF('Actual Game'!F60="","",'Actual Game'!F60)</f>
      </c>
      <c r="O60" s="5">
        <f>IF('App Log'!F60="","",'App Log'!F60)</f>
      </c>
      <c r="P60" s="5">
        <f>IF(AND('Actual Game'!F60="",'App Log'!F60=""),"",IF(TRIM('Actual Game'!F60&amp;"")=TRIM('App Log'!F60&amp;""),"MATCH","DIFF"))</f>
      </c>
      <c r="Q60" s="5">
        <f>IF('Actual Game'!I60="","",'Actual Game'!I60)</f>
      </c>
      <c r="R60" s="5">
        <f>IF('App Log'!I60="","",'App Log'!I60)</f>
      </c>
      <c r="S60" s="5">
        <f>IF(AND('Actual Game'!I60="",'App Log'!I60=""),"",IF(TRIM('Actual Game'!I60&amp;"")=TRIM('App Log'!I60&amp;""),"MATCH","DIFF"))</f>
      </c>
      <c r="T60" s="5">
        <f>IF('Actual Game'!H60="","",'Actual Game'!H60)</f>
      </c>
      <c r="U60" s="5">
        <f>IF('App Log'!H60="","",'App Log'!H60)</f>
      </c>
      <c r="V60" s="5">
        <f>IF(AND('Actual Game'!H60="",'App Log'!H60=""),"",IF(TRIM('Actual Game'!H60&amp;"")=TRIM('App Log'!H60&amp;""),"MATCH","DIFF"))</f>
      </c>
      <c r="W60" s="5">
        <f>IF('Actual Game'!J60="","",'Actual Game'!J60)</f>
      </c>
      <c r="X60" s="5">
        <f>IF('App Log'!J60="","",'App Log'!J60)</f>
      </c>
      <c r="Y60" s="5">
        <f>IF(AND('Actual Game'!J60="",'App Log'!J60=""),"",IF(TRIM('Actual Game'!J60&amp;"")=TRIM('App Log'!J60&amp;""),"MATCH","DIFF"))</f>
      </c>
      <c r="Z60" s="5">
        <f>IF('Actual Game'!K60="","",'Actual Game'!K60)</f>
      </c>
      <c r="AA60" s="5">
        <f>IF('App Log'!K60="","",'App Log'!K60)</f>
      </c>
      <c r="AB60" s="5">
        <f>IF(AND('Actual Game'!K60="",'App Log'!K60=""),"",IF(TRIM('Actual Game'!K60&amp;"")=TRIM('App Log'!K60&amp;""),"MATCH","DIFF"))</f>
      </c>
      <c r="AC60" s="5">
        <f>IF(AND('Actual Game'!A60="",'App Log'!A60=""),"",IF(COUNTIF(D60:AB60,"DIFF")=0,"MATCH","CHECK"))</f>
      </c>
    </row>
    <row r="61" ht="19" customHeight="1">
      <c r="A61" s="5"/>
      <c r="B61" s="5">
        <f>IF('Actual Game'!B61="","",'Actual Game'!B61)</f>
      </c>
      <c r="C61" s="5">
        <f>IF('App Log'!B61="","",'App Log'!B61)</f>
      </c>
      <c r="D61" s="5">
        <f>IF(AND('Actual Game'!B61="",'App Log'!B61=""),"",IF(TRIM('Actual Game'!B61&amp;"")=TRIM('App Log'!B61&amp;""),"MATCH","DIFF"))</f>
      </c>
      <c r="E61" s="5">
        <f>IF('Actual Game'!C61="","",'Actual Game'!C61)</f>
      </c>
      <c r="F61" s="5">
        <f>IF('App Log'!C61="","",'App Log'!C61)</f>
      </c>
      <c r="G61" s="5">
        <f>IF(AND('Actual Game'!C61="",'App Log'!C61=""),"",IF(TRIM('Actual Game'!C61&amp;"")=TRIM('App Log'!C61&amp;""),"MATCH","DIFF"))</f>
      </c>
      <c r="H61" s="5">
        <f>IF('Actual Game'!D61="","",'Actual Game'!D61)</f>
      </c>
      <c r="I61" s="5">
        <f>IF('App Log'!D61="","",'App Log'!D61)</f>
      </c>
      <c r="J61" s="5">
        <f>IF(AND('Actual Game'!D61="",'App Log'!D61=""),"",IF(TRIM('Actual Game'!D61&amp;"")=TRIM('App Log'!D61&amp;""),"MATCH","DIFF"))</f>
      </c>
      <c r="K61" s="5">
        <f>IF('Actual Game'!E61="","",'Actual Game'!E61)</f>
      </c>
      <c r="L61" s="5">
        <f>IF('App Log'!E61="","",'App Log'!E61)</f>
      </c>
      <c r="M61" s="5">
        <f>IF(AND('Actual Game'!E61="",'App Log'!E61=""),"",IF(TRIM('Actual Game'!E61&amp;"")=TRIM('App Log'!E61&amp;""),"MATCH","DIFF"))</f>
      </c>
      <c r="N61" s="5">
        <f>IF('Actual Game'!F61="","",'Actual Game'!F61)</f>
      </c>
      <c r="O61" s="5">
        <f>IF('App Log'!F61="","",'App Log'!F61)</f>
      </c>
      <c r="P61" s="5">
        <f>IF(AND('Actual Game'!F61="",'App Log'!F61=""),"",IF(TRIM('Actual Game'!F61&amp;"")=TRIM('App Log'!F61&amp;""),"MATCH","DIFF"))</f>
      </c>
      <c r="Q61" s="5">
        <f>IF('Actual Game'!I61="","",'Actual Game'!I61)</f>
      </c>
      <c r="R61" s="5">
        <f>IF('App Log'!I61="","",'App Log'!I61)</f>
      </c>
      <c r="S61" s="5">
        <f>IF(AND('Actual Game'!I61="",'App Log'!I61=""),"",IF(TRIM('Actual Game'!I61&amp;"")=TRIM('App Log'!I61&amp;""),"MATCH","DIFF"))</f>
      </c>
      <c r="T61" s="5">
        <f>IF('Actual Game'!H61="","",'Actual Game'!H61)</f>
      </c>
      <c r="U61" s="5">
        <f>IF('App Log'!H61="","",'App Log'!H61)</f>
      </c>
      <c r="V61" s="5">
        <f>IF(AND('Actual Game'!H61="",'App Log'!H61=""),"",IF(TRIM('Actual Game'!H61&amp;"")=TRIM('App Log'!H61&amp;""),"MATCH","DIFF"))</f>
      </c>
      <c r="W61" s="5">
        <f>IF('Actual Game'!J61="","",'Actual Game'!J61)</f>
      </c>
      <c r="X61" s="5">
        <f>IF('App Log'!J61="","",'App Log'!J61)</f>
      </c>
      <c r="Y61" s="5">
        <f>IF(AND('Actual Game'!J61="",'App Log'!J61=""),"",IF(TRIM('Actual Game'!J61&amp;"")=TRIM('App Log'!J61&amp;""),"MATCH","DIFF"))</f>
      </c>
      <c r="Z61" s="5">
        <f>IF('Actual Game'!K61="","",'Actual Game'!K61)</f>
      </c>
      <c r="AA61" s="5">
        <f>IF('App Log'!K61="","",'App Log'!K61)</f>
      </c>
      <c r="AB61" s="5">
        <f>IF(AND('Actual Game'!K61="",'App Log'!K61=""),"",IF(TRIM('Actual Game'!K61&amp;"")=TRIM('App Log'!K61&amp;""),"MATCH","DIFF"))</f>
      </c>
      <c r="AC61" s="5">
        <f>IF(AND('Actual Game'!A61="",'App Log'!A61=""),"",IF(COUNTIF(D61:AB61,"DIFF")=0,"MATCH","CHECK"))</f>
      </c>
    </row>
    <row r="62" ht="19" customHeight="1">
      <c r="A62" s="5"/>
      <c r="B62" s="5">
        <f>IF('Actual Game'!B62="","",'Actual Game'!B62)</f>
      </c>
      <c r="C62" s="5">
        <f>IF('App Log'!B62="","",'App Log'!B62)</f>
      </c>
      <c r="D62" s="5">
        <f>IF(AND('Actual Game'!B62="",'App Log'!B62=""),"",IF(TRIM('Actual Game'!B62&amp;"")=TRIM('App Log'!B62&amp;""),"MATCH","DIFF"))</f>
      </c>
      <c r="E62" s="5">
        <f>IF('Actual Game'!C62="","",'Actual Game'!C62)</f>
      </c>
      <c r="F62" s="5">
        <f>IF('App Log'!C62="","",'App Log'!C62)</f>
      </c>
      <c r="G62" s="5">
        <f>IF(AND('Actual Game'!C62="",'App Log'!C62=""),"",IF(TRIM('Actual Game'!C62&amp;"")=TRIM('App Log'!C62&amp;""),"MATCH","DIFF"))</f>
      </c>
      <c r="H62" s="5">
        <f>IF('Actual Game'!D62="","",'Actual Game'!D62)</f>
      </c>
      <c r="I62" s="5">
        <f>IF('App Log'!D62="","",'App Log'!D62)</f>
      </c>
      <c r="J62" s="5">
        <f>IF(AND('Actual Game'!D62="",'App Log'!D62=""),"",IF(TRIM('Actual Game'!D62&amp;"")=TRIM('App Log'!D62&amp;""),"MATCH","DIFF"))</f>
      </c>
      <c r="K62" s="5">
        <f>IF('Actual Game'!E62="","",'Actual Game'!E62)</f>
      </c>
      <c r="L62" s="5">
        <f>IF('App Log'!E62="","",'App Log'!E62)</f>
      </c>
      <c r="M62" s="5">
        <f>IF(AND('Actual Game'!E62="",'App Log'!E62=""),"",IF(TRIM('Actual Game'!E62&amp;"")=TRIM('App Log'!E62&amp;""),"MATCH","DIFF"))</f>
      </c>
      <c r="N62" s="5">
        <f>IF('Actual Game'!F62="","",'Actual Game'!F62)</f>
      </c>
      <c r="O62" s="5">
        <f>IF('App Log'!F62="","",'App Log'!F62)</f>
      </c>
      <c r="P62" s="5">
        <f>IF(AND('Actual Game'!F62="",'App Log'!F62=""),"",IF(TRIM('Actual Game'!F62&amp;"")=TRIM('App Log'!F62&amp;""),"MATCH","DIFF"))</f>
      </c>
      <c r="Q62" s="5">
        <f>IF('Actual Game'!I62="","",'Actual Game'!I62)</f>
      </c>
      <c r="R62" s="5">
        <f>IF('App Log'!I62="","",'App Log'!I62)</f>
      </c>
      <c r="S62" s="5">
        <f>IF(AND('Actual Game'!I62="",'App Log'!I62=""),"",IF(TRIM('Actual Game'!I62&amp;"")=TRIM('App Log'!I62&amp;""),"MATCH","DIFF"))</f>
      </c>
      <c r="T62" s="5">
        <f>IF('Actual Game'!H62="","",'Actual Game'!H62)</f>
      </c>
      <c r="U62" s="5">
        <f>IF('App Log'!H62="","",'App Log'!H62)</f>
      </c>
      <c r="V62" s="5">
        <f>IF(AND('Actual Game'!H62="",'App Log'!H62=""),"",IF(TRIM('Actual Game'!H62&amp;"")=TRIM('App Log'!H62&amp;""),"MATCH","DIFF"))</f>
      </c>
      <c r="W62" s="5">
        <f>IF('Actual Game'!J62="","",'Actual Game'!J62)</f>
      </c>
      <c r="X62" s="5">
        <f>IF('App Log'!J62="","",'App Log'!J62)</f>
      </c>
      <c r="Y62" s="5">
        <f>IF(AND('Actual Game'!J62="",'App Log'!J62=""),"",IF(TRIM('Actual Game'!J62&amp;"")=TRIM('App Log'!J62&amp;""),"MATCH","DIFF"))</f>
      </c>
      <c r="Z62" s="5">
        <f>IF('Actual Game'!K62="","",'Actual Game'!K62)</f>
      </c>
      <c r="AA62" s="5">
        <f>IF('App Log'!K62="","",'App Log'!K62)</f>
      </c>
      <c r="AB62" s="5">
        <f>IF(AND('Actual Game'!K62="",'App Log'!K62=""),"",IF(TRIM('Actual Game'!K62&amp;"")=TRIM('App Log'!K62&amp;""),"MATCH","DIFF"))</f>
      </c>
      <c r="AC62" s="5">
        <f>IF(AND('Actual Game'!A62="",'App Log'!A62=""),"",IF(COUNTIF(D62:AB62,"DIFF")=0,"MATCH","CHECK"))</f>
      </c>
    </row>
    <row r="63" ht="19" customHeight="1">
      <c r="A63" s="5"/>
      <c r="B63" s="5">
        <f>IF('Actual Game'!B63="","",'Actual Game'!B63)</f>
      </c>
      <c r="C63" s="5">
        <f>IF('App Log'!B63="","",'App Log'!B63)</f>
      </c>
      <c r="D63" s="5">
        <f>IF(AND('Actual Game'!B63="",'App Log'!B63=""),"",IF(TRIM('Actual Game'!B63&amp;"")=TRIM('App Log'!B63&amp;""),"MATCH","DIFF"))</f>
      </c>
      <c r="E63" s="5">
        <f>IF('Actual Game'!C63="","",'Actual Game'!C63)</f>
      </c>
      <c r="F63" s="5">
        <f>IF('App Log'!C63="","",'App Log'!C63)</f>
      </c>
      <c r="G63" s="5">
        <f>IF(AND('Actual Game'!C63="",'App Log'!C63=""),"",IF(TRIM('Actual Game'!C63&amp;"")=TRIM('App Log'!C63&amp;""),"MATCH","DIFF"))</f>
      </c>
      <c r="H63" s="5">
        <f>IF('Actual Game'!D63="","",'Actual Game'!D63)</f>
      </c>
      <c r="I63" s="5">
        <f>IF('App Log'!D63="","",'App Log'!D63)</f>
      </c>
      <c r="J63" s="5">
        <f>IF(AND('Actual Game'!D63="",'App Log'!D63=""),"",IF(TRIM('Actual Game'!D63&amp;"")=TRIM('App Log'!D63&amp;""),"MATCH","DIFF"))</f>
      </c>
      <c r="K63" s="5">
        <f>IF('Actual Game'!E63="","",'Actual Game'!E63)</f>
      </c>
      <c r="L63" s="5">
        <f>IF('App Log'!E63="","",'App Log'!E63)</f>
      </c>
      <c r="M63" s="5">
        <f>IF(AND('Actual Game'!E63="",'App Log'!E63=""),"",IF(TRIM('Actual Game'!E63&amp;"")=TRIM('App Log'!E63&amp;""),"MATCH","DIFF"))</f>
      </c>
      <c r="N63" s="5">
        <f>IF('Actual Game'!F63="","",'Actual Game'!F63)</f>
      </c>
      <c r="O63" s="5">
        <f>IF('App Log'!F63="","",'App Log'!F63)</f>
      </c>
      <c r="P63" s="5">
        <f>IF(AND('Actual Game'!F63="",'App Log'!F63=""),"",IF(TRIM('Actual Game'!F63&amp;"")=TRIM('App Log'!F63&amp;""),"MATCH","DIFF"))</f>
      </c>
      <c r="Q63" s="5">
        <f>IF('Actual Game'!I63="","",'Actual Game'!I63)</f>
      </c>
      <c r="R63" s="5">
        <f>IF('App Log'!I63="","",'App Log'!I63)</f>
      </c>
      <c r="S63" s="5">
        <f>IF(AND('Actual Game'!I63="",'App Log'!I63=""),"",IF(TRIM('Actual Game'!I63&amp;"")=TRIM('App Log'!I63&amp;""),"MATCH","DIFF"))</f>
      </c>
      <c r="T63" s="5">
        <f>IF('Actual Game'!H63="","",'Actual Game'!H63)</f>
      </c>
      <c r="U63" s="5">
        <f>IF('App Log'!H63="","",'App Log'!H63)</f>
      </c>
      <c r="V63" s="5">
        <f>IF(AND('Actual Game'!H63="",'App Log'!H63=""),"",IF(TRIM('Actual Game'!H63&amp;"")=TRIM('App Log'!H63&amp;""),"MATCH","DIFF"))</f>
      </c>
      <c r="W63" s="5">
        <f>IF('Actual Game'!J63="","",'Actual Game'!J63)</f>
      </c>
      <c r="X63" s="5">
        <f>IF('App Log'!J63="","",'App Log'!J63)</f>
      </c>
      <c r="Y63" s="5">
        <f>IF(AND('Actual Game'!J63="",'App Log'!J63=""),"",IF(TRIM('Actual Game'!J63&amp;"")=TRIM('App Log'!J63&amp;""),"MATCH","DIFF"))</f>
      </c>
      <c r="Z63" s="5">
        <f>IF('Actual Game'!K63="","",'Actual Game'!K63)</f>
      </c>
      <c r="AA63" s="5">
        <f>IF('App Log'!K63="","",'App Log'!K63)</f>
      </c>
      <c r="AB63" s="5">
        <f>IF(AND('Actual Game'!K63="",'App Log'!K63=""),"",IF(TRIM('Actual Game'!K63&amp;"")=TRIM('App Log'!K63&amp;""),"MATCH","DIFF"))</f>
      </c>
      <c r="AC63" s="5">
        <f>IF(AND('Actual Game'!A63="",'App Log'!A63=""),"",IF(COUNTIF(D63:AB63,"DIFF")=0,"MATCH","CHECK"))</f>
      </c>
    </row>
    <row r="64" ht="19" customHeight="1">
      <c r="A64" s="5"/>
      <c r="B64" s="5">
        <f>IF('Actual Game'!B64="","",'Actual Game'!B64)</f>
      </c>
      <c r="C64" s="5">
        <f>IF('App Log'!B64="","",'App Log'!B64)</f>
      </c>
      <c r="D64" s="5">
        <f>IF(AND('Actual Game'!B64="",'App Log'!B64=""),"",IF(TRIM('Actual Game'!B64&amp;"")=TRIM('App Log'!B64&amp;""),"MATCH","DIFF"))</f>
      </c>
      <c r="E64" s="5">
        <f>IF('Actual Game'!C64="","",'Actual Game'!C64)</f>
      </c>
      <c r="F64" s="5">
        <f>IF('App Log'!C64="","",'App Log'!C64)</f>
      </c>
      <c r="G64" s="5">
        <f>IF(AND('Actual Game'!C64="",'App Log'!C64=""),"",IF(TRIM('Actual Game'!C64&amp;"")=TRIM('App Log'!C64&amp;""),"MATCH","DIFF"))</f>
      </c>
      <c r="H64" s="5">
        <f>IF('Actual Game'!D64="","",'Actual Game'!D64)</f>
      </c>
      <c r="I64" s="5">
        <f>IF('App Log'!D64="","",'App Log'!D64)</f>
      </c>
      <c r="J64" s="5">
        <f>IF(AND('Actual Game'!D64="",'App Log'!D64=""),"",IF(TRIM('Actual Game'!D64&amp;"")=TRIM('App Log'!D64&amp;""),"MATCH","DIFF"))</f>
      </c>
      <c r="K64" s="5">
        <f>IF('Actual Game'!E64="","",'Actual Game'!E64)</f>
      </c>
      <c r="L64" s="5">
        <f>IF('App Log'!E64="","",'App Log'!E64)</f>
      </c>
      <c r="M64" s="5">
        <f>IF(AND('Actual Game'!E64="",'App Log'!E64=""),"",IF(TRIM('Actual Game'!E64&amp;"")=TRIM('App Log'!E64&amp;""),"MATCH","DIFF"))</f>
      </c>
      <c r="N64" s="5">
        <f>IF('Actual Game'!F64="","",'Actual Game'!F64)</f>
      </c>
      <c r="O64" s="5">
        <f>IF('App Log'!F64="","",'App Log'!F64)</f>
      </c>
      <c r="P64" s="5">
        <f>IF(AND('Actual Game'!F64="",'App Log'!F64=""),"",IF(TRIM('Actual Game'!F64&amp;"")=TRIM('App Log'!F64&amp;""),"MATCH","DIFF"))</f>
      </c>
      <c r="Q64" s="5">
        <f>IF('Actual Game'!I64="","",'Actual Game'!I64)</f>
      </c>
      <c r="R64" s="5">
        <f>IF('App Log'!I64="","",'App Log'!I64)</f>
      </c>
      <c r="S64" s="5">
        <f>IF(AND('Actual Game'!I64="",'App Log'!I64=""),"",IF(TRIM('Actual Game'!I64&amp;"")=TRIM('App Log'!I64&amp;""),"MATCH","DIFF"))</f>
      </c>
      <c r="T64" s="5">
        <f>IF('Actual Game'!H64="","",'Actual Game'!H64)</f>
      </c>
      <c r="U64" s="5">
        <f>IF('App Log'!H64="","",'App Log'!H64)</f>
      </c>
      <c r="V64" s="5">
        <f>IF(AND('Actual Game'!H64="",'App Log'!H64=""),"",IF(TRIM('Actual Game'!H64&amp;"")=TRIM('App Log'!H64&amp;""),"MATCH","DIFF"))</f>
      </c>
      <c r="W64" s="5">
        <f>IF('Actual Game'!J64="","",'Actual Game'!J64)</f>
      </c>
      <c r="X64" s="5">
        <f>IF('App Log'!J64="","",'App Log'!J64)</f>
      </c>
      <c r="Y64" s="5">
        <f>IF(AND('Actual Game'!J64="",'App Log'!J64=""),"",IF(TRIM('Actual Game'!J64&amp;"")=TRIM('App Log'!J64&amp;""),"MATCH","DIFF"))</f>
      </c>
      <c r="Z64" s="5">
        <f>IF('Actual Game'!K64="","",'Actual Game'!K64)</f>
      </c>
      <c r="AA64" s="5">
        <f>IF('App Log'!K64="","",'App Log'!K64)</f>
      </c>
      <c r="AB64" s="5">
        <f>IF(AND('Actual Game'!K64="",'App Log'!K64=""),"",IF(TRIM('Actual Game'!K64&amp;"")=TRIM('App Log'!K64&amp;""),"MATCH","DIFF"))</f>
      </c>
      <c r="AC64" s="5">
        <f>IF(AND('Actual Game'!A64="",'App Log'!A64=""),"",IF(COUNTIF(D64:AB64,"DIFF")=0,"MATCH","CHECK"))</f>
      </c>
    </row>
    <row r="65" ht="19" customHeight="1">
      <c r="A65" s="5"/>
      <c r="B65" s="5">
        <f>IF('Actual Game'!B65="","",'Actual Game'!B65)</f>
      </c>
      <c r="C65" s="5">
        <f>IF('App Log'!B65="","",'App Log'!B65)</f>
      </c>
      <c r="D65" s="5">
        <f>IF(AND('Actual Game'!B65="",'App Log'!B65=""),"",IF(TRIM('Actual Game'!B65&amp;"")=TRIM('App Log'!B65&amp;""),"MATCH","DIFF"))</f>
      </c>
      <c r="E65" s="5">
        <f>IF('Actual Game'!C65="","",'Actual Game'!C65)</f>
      </c>
      <c r="F65" s="5">
        <f>IF('App Log'!C65="","",'App Log'!C65)</f>
      </c>
      <c r="G65" s="5">
        <f>IF(AND('Actual Game'!C65="",'App Log'!C65=""),"",IF(TRIM('Actual Game'!C65&amp;"")=TRIM('App Log'!C65&amp;""),"MATCH","DIFF"))</f>
      </c>
      <c r="H65" s="5">
        <f>IF('Actual Game'!D65="","",'Actual Game'!D65)</f>
      </c>
      <c r="I65" s="5">
        <f>IF('App Log'!D65="","",'App Log'!D65)</f>
      </c>
      <c r="J65" s="5">
        <f>IF(AND('Actual Game'!D65="",'App Log'!D65=""),"",IF(TRIM('Actual Game'!D65&amp;"")=TRIM('App Log'!D65&amp;""),"MATCH","DIFF"))</f>
      </c>
      <c r="K65" s="5">
        <f>IF('Actual Game'!E65="","",'Actual Game'!E65)</f>
      </c>
      <c r="L65" s="5">
        <f>IF('App Log'!E65="","",'App Log'!E65)</f>
      </c>
      <c r="M65" s="5">
        <f>IF(AND('Actual Game'!E65="",'App Log'!E65=""),"",IF(TRIM('Actual Game'!E65&amp;"")=TRIM('App Log'!E65&amp;""),"MATCH","DIFF"))</f>
      </c>
      <c r="N65" s="5">
        <f>IF('Actual Game'!F65="","",'Actual Game'!F65)</f>
      </c>
      <c r="O65" s="5">
        <f>IF('App Log'!F65="","",'App Log'!F65)</f>
      </c>
      <c r="P65" s="5">
        <f>IF(AND('Actual Game'!F65="",'App Log'!F65=""),"",IF(TRIM('Actual Game'!F65&amp;"")=TRIM('App Log'!F65&amp;""),"MATCH","DIFF"))</f>
      </c>
      <c r="Q65" s="5">
        <f>IF('Actual Game'!I65="","",'Actual Game'!I65)</f>
      </c>
      <c r="R65" s="5">
        <f>IF('App Log'!I65="","",'App Log'!I65)</f>
      </c>
      <c r="S65" s="5">
        <f>IF(AND('Actual Game'!I65="",'App Log'!I65=""),"",IF(TRIM('Actual Game'!I65&amp;"")=TRIM('App Log'!I65&amp;""),"MATCH","DIFF"))</f>
      </c>
      <c r="T65" s="5">
        <f>IF('Actual Game'!H65="","",'Actual Game'!H65)</f>
      </c>
      <c r="U65" s="5">
        <f>IF('App Log'!H65="","",'App Log'!H65)</f>
      </c>
      <c r="V65" s="5">
        <f>IF(AND('Actual Game'!H65="",'App Log'!H65=""),"",IF(TRIM('Actual Game'!H65&amp;"")=TRIM('App Log'!H65&amp;""),"MATCH","DIFF"))</f>
      </c>
      <c r="W65" s="5">
        <f>IF('Actual Game'!J65="","",'Actual Game'!J65)</f>
      </c>
      <c r="X65" s="5">
        <f>IF('App Log'!J65="","",'App Log'!J65)</f>
      </c>
      <c r="Y65" s="5">
        <f>IF(AND('Actual Game'!J65="",'App Log'!J65=""),"",IF(TRIM('Actual Game'!J65&amp;"")=TRIM('App Log'!J65&amp;""),"MATCH","DIFF"))</f>
      </c>
      <c r="Z65" s="5">
        <f>IF('Actual Game'!K65="","",'Actual Game'!K65)</f>
      </c>
      <c r="AA65" s="5">
        <f>IF('App Log'!K65="","",'App Log'!K65)</f>
      </c>
      <c r="AB65" s="5">
        <f>IF(AND('Actual Game'!K65="",'App Log'!K65=""),"",IF(TRIM('Actual Game'!K65&amp;"")=TRIM('App Log'!K65&amp;""),"MATCH","DIFF"))</f>
      </c>
      <c r="AC65" s="5">
        <f>IF(AND('Actual Game'!A65="",'App Log'!A65=""),"",IF(COUNTIF(D65:AB65,"DIFF")=0,"MATCH","CHECK"))</f>
      </c>
    </row>
    <row r="66" ht="19" customHeight="1">
      <c r="A66" s="5"/>
      <c r="B66" s="5">
        <f>IF('Actual Game'!B66="","",'Actual Game'!B66)</f>
      </c>
      <c r="C66" s="5">
        <f>IF('App Log'!B66="","",'App Log'!B66)</f>
      </c>
      <c r="D66" s="5">
        <f>IF(AND('Actual Game'!B66="",'App Log'!B66=""),"",IF(TRIM('Actual Game'!B66&amp;"")=TRIM('App Log'!B66&amp;""),"MATCH","DIFF"))</f>
      </c>
      <c r="E66" s="5">
        <f>IF('Actual Game'!C66="","",'Actual Game'!C66)</f>
      </c>
      <c r="F66" s="5">
        <f>IF('App Log'!C66="","",'App Log'!C66)</f>
      </c>
      <c r="G66" s="5">
        <f>IF(AND('Actual Game'!C66="",'App Log'!C66=""),"",IF(TRIM('Actual Game'!C66&amp;"")=TRIM('App Log'!C66&amp;""),"MATCH","DIFF"))</f>
      </c>
      <c r="H66" s="5">
        <f>IF('Actual Game'!D66="","",'Actual Game'!D66)</f>
      </c>
      <c r="I66" s="5">
        <f>IF('App Log'!D66="","",'App Log'!D66)</f>
      </c>
      <c r="J66" s="5">
        <f>IF(AND('Actual Game'!D66="",'App Log'!D66=""),"",IF(TRIM('Actual Game'!D66&amp;"")=TRIM('App Log'!D66&amp;""),"MATCH","DIFF"))</f>
      </c>
      <c r="K66" s="5">
        <f>IF('Actual Game'!E66="","",'Actual Game'!E66)</f>
      </c>
      <c r="L66" s="5">
        <f>IF('App Log'!E66="","",'App Log'!E66)</f>
      </c>
      <c r="M66" s="5">
        <f>IF(AND('Actual Game'!E66="",'App Log'!E66=""),"",IF(TRIM('Actual Game'!E66&amp;"")=TRIM('App Log'!E66&amp;""),"MATCH","DIFF"))</f>
      </c>
      <c r="N66" s="5">
        <f>IF('Actual Game'!F66="","",'Actual Game'!F66)</f>
      </c>
      <c r="O66" s="5">
        <f>IF('App Log'!F66="","",'App Log'!F66)</f>
      </c>
      <c r="P66" s="5">
        <f>IF(AND('Actual Game'!F66="",'App Log'!F66=""),"",IF(TRIM('Actual Game'!F66&amp;"")=TRIM('App Log'!F66&amp;""),"MATCH","DIFF"))</f>
      </c>
      <c r="Q66" s="5">
        <f>IF('Actual Game'!I66="","",'Actual Game'!I66)</f>
      </c>
      <c r="R66" s="5">
        <f>IF('App Log'!I66="","",'App Log'!I66)</f>
      </c>
      <c r="S66" s="5">
        <f>IF(AND('Actual Game'!I66="",'App Log'!I66=""),"",IF(TRIM('Actual Game'!I66&amp;"")=TRIM('App Log'!I66&amp;""),"MATCH","DIFF"))</f>
      </c>
      <c r="T66" s="5">
        <f>IF('Actual Game'!H66="","",'Actual Game'!H66)</f>
      </c>
      <c r="U66" s="5">
        <f>IF('App Log'!H66="","",'App Log'!H66)</f>
      </c>
      <c r="V66" s="5">
        <f>IF(AND('Actual Game'!H66="",'App Log'!H66=""),"",IF(TRIM('Actual Game'!H66&amp;"")=TRIM('App Log'!H66&amp;""),"MATCH","DIFF"))</f>
      </c>
      <c r="W66" s="5">
        <f>IF('Actual Game'!J66="","",'Actual Game'!J66)</f>
      </c>
      <c r="X66" s="5">
        <f>IF('App Log'!J66="","",'App Log'!J66)</f>
      </c>
      <c r="Y66" s="5">
        <f>IF(AND('Actual Game'!J66="",'App Log'!J66=""),"",IF(TRIM('Actual Game'!J66&amp;"")=TRIM('App Log'!J66&amp;""),"MATCH","DIFF"))</f>
      </c>
      <c r="Z66" s="5">
        <f>IF('Actual Game'!K66="","",'Actual Game'!K66)</f>
      </c>
      <c r="AA66" s="5">
        <f>IF('App Log'!K66="","",'App Log'!K66)</f>
      </c>
      <c r="AB66" s="5">
        <f>IF(AND('Actual Game'!K66="",'App Log'!K66=""),"",IF(TRIM('Actual Game'!K66&amp;"")=TRIM('App Log'!K66&amp;""),"MATCH","DIFF"))</f>
      </c>
      <c r="AC66" s="5">
        <f>IF(AND('Actual Game'!A66="",'App Log'!A66=""),"",IF(COUNTIF(D66:AB66,"DIFF")=0,"MATCH","CHECK"))</f>
      </c>
    </row>
    <row r="67" ht="19" customHeight="1">
      <c r="A67" s="5"/>
      <c r="B67" s="5">
        <f>IF('Actual Game'!B67="","",'Actual Game'!B67)</f>
      </c>
      <c r="C67" s="5">
        <f>IF('App Log'!B67="","",'App Log'!B67)</f>
      </c>
      <c r="D67" s="5">
        <f>IF(AND('Actual Game'!B67="",'App Log'!B67=""),"",IF(TRIM('Actual Game'!B67&amp;"")=TRIM('App Log'!B67&amp;""),"MATCH","DIFF"))</f>
      </c>
      <c r="E67" s="5">
        <f>IF('Actual Game'!C67="","",'Actual Game'!C67)</f>
      </c>
      <c r="F67" s="5">
        <f>IF('App Log'!C67="","",'App Log'!C67)</f>
      </c>
      <c r="G67" s="5">
        <f>IF(AND('Actual Game'!C67="",'App Log'!C67=""),"",IF(TRIM('Actual Game'!C67&amp;"")=TRIM('App Log'!C67&amp;""),"MATCH","DIFF"))</f>
      </c>
      <c r="H67" s="5">
        <f>IF('Actual Game'!D67="","",'Actual Game'!D67)</f>
      </c>
      <c r="I67" s="5">
        <f>IF('App Log'!D67="","",'App Log'!D67)</f>
      </c>
      <c r="J67" s="5">
        <f>IF(AND('Actual Game'!D67="",'App Log'!D67=""),"",IF(TRIM('Actual Game'!D67&amp;"")=TRIM('App Log'!D67&amp;""),"MATCH","DIFF"))</f>
      </c>
      <c r="K67" s="5">
        <f>IF('Actual Game'!E67="","",'Actual Game'!E67)</f>
      </c>
      <c r="L67" s="5">
        <f>IF('App Log'!E67="","",'App Log'!E67)</f>
      </c>
      <c r="M67" s="5">
        <f>IF(AND('Actual Game'!E67="",'App Log'!E67=""),"",IF(TRIM('Actual Game'!E67&amp;"")=TRIM('App Log'!E67&amp;""),"MATCH","DIFF"))</f>
      </c>
      <c r="N67" s="5">
        <f>IF('Actual Game'!F67="","",'Actual Game'!F67)</f>
      </c>
      <c r="O67" s="5">
        <f>IF('App Log'!F67="","",'App Log'!F67)</f>
      </c>
      <c r="P67" s="5">
        <f>IF(AND('Actual Game'!F67="",'App Log'!F67=""),"",IF(TRIM('Actual Game'!F67&amp;"")=TRIM('App Log'!F67&amp;""),"MATCH","DIFF"))</f>
      </c>
      <c r="Q67" s="5">
        <f>IF('Actual Game'!I67="","",'Actual Game'!I67)</f>
      </c>
      <c r="R67" s="5">
        <f>IF('App Log'!I67="","",'App Log'!I67)</f>
      </c>
      <c r="S67" s="5">
        <f>IF(AND('Actual Game'!I67="",'App Log'!I67=""),"",IF(TRIM('Actual Game'!I67&amp;"")=TRIM('App Log'!I67&amp;""),"MATCH","DIFF"))</f>
      </c>
      <c r="T67" s="5">
        <f>IF('Actual Game'!H67="","",'Actual Game'!H67)</f>
      </c>
      <c r="U67" s="5">
        <f>IF('App Log'!H67="","",'App Log'!H67)</f>
      </c>
      <c r="V67" s="5">
        <f>IF(AND('Actual Game'!H67="",'App Log'!H67=""),"",IF(TRIM('Actual Game'!H67&amp;"")=TRIM('App Log'!H67&amp;""),"MATCH","DIFF"))</f>
      </c>
      <c r="W67" s="5">
        <f>IF('Actual Game'!J67="","",'Actual Game'!J67)</f>
      </c>
      <c r="X67" s="5">
        <f>IF('App Log'!J67="","",'App Log'!J67)</f>
      </c>
      <c r="Y67" s="5">
        <f>IF(AND('Actual Game'!J67="",'App Log'!J67=""),"",IF(TRIM('Actual Game'!J67&amp;"")=TRIM('App Log'!J67&amp;""),"MATCH","DIFF"))</f>
      </c>
      <c r="Z67" s="5">
        <f>IF('Actual Game'!K67="","",'Actual Game'!K67)</f>
      </c>
      <c r="AA67" s="5">
        <f>IF('App Log'!K67="","",'App Log'!K67)</f>
      </c>
      <c r="AB67" s="5">
        <f>IF(AND('Actual Game'!K67="",'App Log'!K67=""),"",IF(TRIM('Actual Game'!K67&amp;"")=TRIM('App Log'!K67&amp;""),"MATCH","DIFF"))</f>
      </c>
      <c r="AC67" s="5">
        <f>IF(AND('Actual Game'!A67="",'App Log'!A67=""),"",IF(COUNTIF(D67:AB67,"DIFF")=0,"MATCH","CHECK"))</f>
      </c>
    </row>
    <row r="68" ht="19" customHeight="1">
      <c r="A68" s="5"/>
      <c r="B68" s="5">
        <f>IF('Actual Game'!B68="","",'Actual Game'!B68)</f>
      </c>
      <c r="C68" s="5">
        <f>IF('App Log'!B68="","",'App Log'!B68)</f>
      </c>
      <c r="D68" s="5">
        <f>IF(AND('Actual Game'!B68="",'App Log'!B68=""),"",IF(TRIM('Actual Game'!B68&amp;"")=TRIM('App Log'!B68&amp;""),"MATCH","DIFF"))</f>
      </c>
      <c r="E68" s="5">
        <f>IF('Actual Game'!C68="","",'Actual Game'!C68)</f>
      </c>
      <c r="F68" s="5">
        <f>IF('App Log'!C68="","",'App Log'!C68)</f>
      </c>
      <c r="G68" s="5">
        <f>IF(AND('Actual Game'!C68="",'App Log'!C68=""),"",IF(TRIM('Actual Game'!C68&amp;"")=TRIM('App Log'!C68&amp;""),"MATCH","DIFF"))</f>
      </c>
      <c r="H68" s="5">
        <f>IF('Actual Game'!D68="","",'Actual Game'!D68)</f>
      </c>
      <c r="I68" s="5">
        <f>IF('App Log'!D68="","",'App Log'!D68)</f>
      </c>
      <c r="J68" s="5">
        <f>IF(AND('Actual Game'!D68="",'App Log'!D68=""),"",IF(TRIM('Actual Game'!D68&amp;"")=TRIM('App Log'!D68&amp;""),"MATCH","DIFF"))</f>
      </c>
      <c r="K68" s="5">
        <f>IF('Actual Game'!E68="","",'Actual Game'!E68)</f>
      </c>
      <c r="L68" s="5">
        <f>IF('App Log'!E68="","",'App Log'!E68)</f>
      </c>
      <c r="M68" s="5">
        <f>IF(AND('Actual Game'!E68="",'App Log'!E68=""),"",IF(TRIM('Actual Game'!E68&amp;"")=TRIM('App Log'!E68&amp;""),"MATCH","DIFF"))</f>
      </c>
      <c r="N68" s="5">
        <f>IF('Actual Game'!F68="","",'Actual Game'!F68)</f>
      </c>
      <c r="O68" s="5">
        <f>IF('App Log'!F68="","",'App Log'!F68)</f>
      </c>
      <c r="P68" s="5">
        <f>IF(AND('Actual Game'!F68="",'App Log'!F68=""),"",IF(TRIM('Actual Game'!F68&amp;"")=TRIM('App Log'!F68&amp;""),"MATCH","DIFF"))</f>
      </c>
      <c r="Q68" s="5">
        <f>IF('Actual Game'!I68="","",'Actual Game'!I68)</f>
      </c>
      <c r="R68" s="5">
        <f>IF('App Log'!I68="","",'App Log'!I68)</f>
      </c>
      <c r="S68" s="5">
        <f>IF(AND('Actual Game'!I68="",'App Log'!I68=""),"",IF(TRIM('Actual Game'!I68&amp;"")=TRIM('App Log'!I68&amp;""),"MATCH","DIFF"))</f>
      </c>
      <c r="T68" s="5">
        <f>IF('Actual Game'!H68="","",'Actual Game'!H68)</f>
      </c>
      <c r="U68" s="5">
        <f>IF('App Log'!H68="","",'App Log'!H68)</f>
      </c>
      <c r="V68" s="5">
        <f>IF(AND('Actual Game'!H68="",'App Log'!H68=""),"",IF(TRIM('Actual Game'!H68&amp;"")=TRIM('App Log'!H68&amp;""),"MATCH","DIFF"))</f>
      </c>
      <c r="W68" s="5">
        <f>IF('Actual Game'!J68="","",'Actual Game'!J68)</f>
      </c>
      <c r="X68" s="5">
        <f>IF('App Log'!J68="","",'App Log'!J68)</f>
      </c>
      <c r="Y68" s="5">
        <f>IF(AND('Actual Game'!J68="",'App Log'!J68=""),"",IF(TRIM('Actual Game'!J68&amp;"")=TRIM('App Log'!J68&amp;""),"MATCH","DIFF"))</f>
      </c>
      <c r="Z68" s="5">
        <f>IF('Actual Game'!K68="","",'Actual Game'!K68)</f>
      </c>
      <c r="AA68" s="5">
        <f>IF('App Log'!K68="","",'App Log'!K68)</f>
      </c>
      <c r="AB68" s="5">
        <f>IF(AND('Actual Game'!K68="",'App Log'!K68=""),"",IF(TRIM('Actual Game'!K68&amp;"")=TRIM('App Log'!K68&amp;""),"MATCH","DIFF"))</f>
      </c>
      <c r="AC68" s="5">
        <f>IF(AND('Actual Game'!A68="",'App Log'!A68=""),"",IF(COUNTIF(D68:AB68,"DIFF")=0,"MATCH","CHECK"))</f>
      </c>
    </row>
    <row r="69" ht="19" customHeight="1">
      <c r="A69" s="5"/>
      <c r="B69" s="5">
        <f>IF('Actual Game'!B69="","",'Actual Game'!B69)</f>
      </c>
      <c r="C69" s="5">
        <f>IF('App Log'!B69="","",'App Log'!B69)</f>
      </c>
      <c r="D69" s="5">
        <f>IF(AND('Actual Game'!B69="",'App Log'!B69=""),"",IF(TRIM('Actual Game'!B69&amp;"")=TRIM('App Log'!B69&amp;""),"MATCH","DIFF"))</f>
      </c>
      <c r="E69" s="5">
        <f>IF('Actual Game'!C69="","",'Actual Game'!C69)</f>
      </c>
      <c r="F69" s="5">
        <f>IF('App Log'!C69="","",'App Log'!C69)</f>
      </c>
      <c r="G69" s="5">
        <f>IF(AND('Actual Game'!C69="",'App Log'!C69=""),"",IF(TRIM('Actual Game'!C69&amp;"")=TRIM('App Log'!C69&amp;""),"MATCH","DIFF"))</f>
      </c>
      <c r="H69" s="5">
        <f>IF('Actual Game'!D69="","",'Actual Game'!D69)</f>
      </c>
      <c r="I69" s="5">
        <f>IF('App Log'!D69="","",'App Log'!D69)</f>
      </c>
      <c r="J69" s="5">
        <f>IF(AND('Actual Game'!D69="",'App Log'!D69=""),"",IF(TRIM('Actual Game'!D69&amp;"")=TRIM('App Log'!D69&amp;""),"MATCH","DIFF"))</f>
      </c>
      <c r="K69" s="5">
        <f>IF('Actual Game'!E69="","",'Actual Game'!E69)</f>
      </c>
      <c r="L69" s="5">
        <f>IF('App Log'!E69="","",'App Log'!E69)</f>
      </c>
      <c r="M69" s="5">
        <f>IF(AND('Actual Game'!E69="",'App Log'!E69=""),"",IF(TRIM('Actual Game'!E69&amp;"")=TRIM('App Log'!E69&amp;""),"MATCH","DIFF"))</f>
      </c>
      <c r="N69" s="5">
        <f>IF('Actual Game'!F69="","",'Actual Game'!F69)</f>
      </c>
      <c r="O69" s="5">
        <f>IF('App Log'!F69="","",'App Log'!F69)</f>
      </c>
      <c r="P69" s="5">
        <f>IF(AND('Actual Game'!F69="",'App Log'!F69=""),"",IF(TRIM('Actual Game'!F69&amp;"")=TRIM('App Log'!F69&amp;""),"MATCH","DIFF"))</f>
      </c>
      <c r="Q69" s="5">
        <f>IF('Actual Game'!I69="","",'Actual Game'!I69)</f>
      </c>
      <c r="R69" s="5">
        <f>IF('App Log'!I69="","",'App Log'!I69)</f>
      </c>
      <c r="S69" s="5">
        <f>IF(AND('Actual Game'!I69="",'App Log'!I69=""),"",IF(TRIM('Actual Game'!I69&amp;"")=TRIM('App Log'!I69&amp;""),"MATCH","DIFF"))</f>
      </c>
      <c r="T69" s="5">
        <f>IF('Actual Game'!H69="","",'Actual Game'!H69)</f>
      </c>
      <c r="U69" s="5">
        <f>IF('App Log'!H69="","",'App Log'!H69)</f>
      </c>
      <c r="V69" s="5">
        <f>IF(AND('Actual Game'!H69="",'App Log'!H69=""),"",IF(TRIM('Actual Game'!H69&amp;"")=TRIM('App Log'!H69&amp;""),"MATCH","DIFF"))</f>
      </c>
      <c r="W69" s="5">
        <f>IF('Actual Game'!J69="","",'Actual Game'!J69)</f>
      </c>
      <c r="X69" s="5">
        <f>IF('App Log'!J69="","",'App Log'!J69)</f>
      </c>
      <c r="Y69" s="5">
        <f>IF(AND('Actual Game'!J69="",'App Log'!J69=""),"",IF(TRIM('Actual Game'!J69&amp;"")=TRIM('App Log'!J69&amp;""),"MATCH","DIFF"))</f>
      </c>
      <c r="Z69" s="5">
        <f>IF('Actual Game'!K69="","",'Actual Game'!K69)</f>
      </c>
      <c r="AA69" s="5">
        <f>IF('App Log'!K69="","",'App Log'!K69)</f>
      </c>
      <c r="AB69" s="5">
        <f>IF(AND('Actual Game'!K69="",'App Log'!K69=""),"",IF(TRIM('Actual Game'!K69&amp;"")=TRIM('App Log'!K69&amp;""),"MATCH","DIFF"))</f>
      </c>
      <c r="AC69" s="5">
        <f>IF(AND('Actual Game'!A69="",'App Log'!A69=""),"",IF(COUNTIF(D69:AB69,"DIFF")=0,"MATCH","CHECK"))</f>
      </c>
    </row>
    <row r="70" ht="19" customHeight="1">
      <c r="A70" s="5"/>
      <c r="B70" s="5">
        <f>IF('Actual Game'!B70="","",'Actual Game'!B70)</f>
      </c>
      <c r="C70" s="5">
        <f>IF('App Log'!B70="","",'App Log'!B70)</f>
      </c>
      <c r="D70" s="5">
        <f>IF(AND('Actual Game'!B70="",'App Log'!B70=""),"",IF(TRIM('Actual Game'!B70&amp;"")=TRIM('App Log'!B70&amp;""),"MATCH","DIFF"))</f>
      </c>
      <c r="E70" s="5">
        <f>IF('Actual Game'!C70="","",'Actual Game'!C70)</f>
      </c>
      <c r="F70" s="5">
        <f>IF('App Log'!C70="","",'App Log'!C70)</f>
      </c>
      <c r="G70" s="5">
        <f>IF(AND('Actual Game'!C70="",'App Log'!C70=""),"",IF(TRIM('Actual Game'!C70&amp;"")=TRIM('App Log'!C70&amp;""),"MATCH","DIFF"))</f>
      </c>
      <c r="H70" s="5">
        <f>IF('Actual Game'!D70="","",'Actual Game'!D70)</f>
      </c>
      <c r="I70" s="5">
        <f>IF('App Log'!D70="","",'App Log'!D70)</f>
      </c>
      <c r="J70" s="5">
        <f>IF(AND('Actual Game'!D70="",'App Log'!D70=""),"",IF(TRIM('Actual Game'!D70&amp;"")=TRIM('App Log'!D70&amp;""),"MATCH","DIFF"))</f>
      </c>
      <c r="K70" s="5">
        <f>IF('Actual Game'!E70="","",'Actual Game'!E70)</f>
      </c>
      <c r="L70" s="5">
        <f>IF('App Log'!E70="","",'App Log'!E70)</f>
      </c>
      <c r="M70" s="5">
        <f>IF(AND('Actual Game'!E70="",'App Log'!E70=""),"",IF(TRIM('Actual Game'!E70&amp;"")=TRIM('App Log'!E70&amp;""),"MATCH","DIFF"))</f>
      </c>
      <c r="N70" s="5">
        <f>IF('Actual Game'!F70="","",'Actual Game'!F70)</f>
      </c>
      <c r="O70" s="5">
        <f>IF('App Log'!F70="","",'App Log'!F70)</f>
      </c>
      <c r="P70" s="5">
        <f>IF(AND('Actual Game'!F70="",'App Log'!F70=""),"",IF(TRIM('Actual Game'!F70&amp;"")=TRIM('App Log'!F70&amp;""),"MATCH","DIFF"))</f>
      </c>
      <c r="Q70" s="5">
        <f>IF('Actual Game'!I70="","",'Actual Game'!I70)</f>
      </c>
      <c r="R70" s="5">
        <f>IF('App Log'!I70="","",'App Log'!I70)</f>
      </c>
      <c r="S70" s="5">
        <f>IF(AND('Actual Game'!I70="",'App Log'!I70=""),"",IF(TRIM('Actual Game'!I70&amp;"")=TRIM('App Log'!I70&amp;""),"MATCH","DIFF"))</f>
      </c>
      <c r="T70" s="5">
        <f>IF('Actual Game'!H70="","",'Actual Game'!H70)</f>
      </c>
      <c r="U70" s="5">
        <f>IF('App Log'!H70="","",'App Log'!H70)</f>
      </c>
      <c r="V70" s="5">
        <f>IF(AND('Actual Game'!H70="",'App Log'!H70=""),"",IF(TRIM('Actual Game'!H70&amp;"")=TRIM('App Log'!H70&amp;""),"MATCH","DIFF"))</f>
      </c>
      <c r="W70" s="5">
        <f>IF('Actual Game'!J70="","",'Actual Game'!J70)</f>
      </c>
      <c r="X70" s="5">
        <f>IF('App Log'!J70="","",'App Log'!J70)</f>
      </c>
      <c r="Y70" s="5">
        <f>IF(AND('Actual Game'!J70="",'App Log'!J70=""),"",IF(TRIM('Actual Game'!J70&amp;"")=TRIM('App Log'!J70&amp;""),"MATCH","DIFF"))</f>
      </c>
      <c r="Z70" s="5">
        <f>IF('Actual Game'!K70="","",'Actual Game'!K70)</f>
      </c>
      <c r="AA70" s="5">
        <f>IF('App Log'!K70="","",'App Log'!K70)</f>
      </c>
      <c r="AB70" s="5">
        <f>IF(AND('Actual Game'!K70="",'App Log'!K70=""),"",IF(TRIM('Actual Game'!K70&amp;"")=TRIM('App Log'!K70&amp;""),"MATCH","DIFF"))</f>
      </c>
      <c r="AC70" s="5">
        <f>IF(AND('Actual Game'!A70="",'App Log'!A70=""),"",IF(COUNTIF(D70:AB70,"DIFF")=0,"MATCH","CHECK"))</f>
      </c>
    </row>
    <row r="71" ht="19" customHeight="1">
      <c r="A71" s="5"/>
      <c r="B71" s="5">
        <f>IF('Actual Game'!B71="","",'Actual Game'!B71)</f>
      </c>
      <c r="C71" s="5">
        <f>IF('App Log'!B71="","",'App Log'!B71)</f>
      </c>
      <c r="D71" s="5">
        <f>IF(AND('Actual Game'!B71="",'App Log'!B71=""),"",IF(TRIM('Actual Game'!B71&amp;"")=TRIM('App Log'!B71&amp;""),"MATCH","DIFF"))</f>
      </c>
      <c r="E71" s="5">
        <f>IF('Actual Game'!C71="","",'Actual Game'!C71)</f>
      </c>
      <c r="F71" s="5">
        <f>IF('App Log'!C71="","",'App Log'!C71)</f>
      </c>
      <c r="G71" s="5">
        <f>IF(AND('Actual Game'!C71="",'App Log'!C71=""),"",IF(TRIM('Actual Game'!C71&amp;"")=TRIM('App Log'!C71&amp;""),"MATCH","DIFF"))</f>
      </c>
      <c r="H71" s="5">
        <f>IF('Actual Game'!D71="","",'Actual Game'!D71)</f>
      </c>
      <c r="I71" s="5">
        <f>IF('App Log'!D71="","",'App Log'!D71)</f>
      </c>
      <c r="J71" s="5">
        <f>IF(AND('Actual Game'!D71="",'App Log'!D71=""),"",IF(TRIM('Actual Game'!D71&amp;"")=TRIM('App Log'!D71&amp;""),"MATCH","DIFF"))</f>
      </c>
      <c r="K71" s="5">
        <f>IF('Actual Game'!E71="","",'Actual Game'!E71)</f>
      </c>
      <c r="L71" s="5">
        <f>IF('App Log'!E71="","",'App Log'!E71)</f>
      </c>
      <c r="M71" s="5">
        <f>IF(AND('Actual Game'!E71="",'App Log'!E71=""),"",IF(TRIM('Actual Game'!E71&amp;"")=TRIM('App Log'!E71&amp;""),"MATCH","DIFF"))</f>
      </c>
      <c r="N71" s="5">
        <f>IF('Actual Game'!F71="","",'Actual Game'!F71)</f>
      </c>
      <c r="O71" s="5">
        <f>IF('App Log'!F71="","",'App Log'!F71)</f>
      </c>
      <c r="P71" s="5">
        <f>IF(AND('Actual Game'!F71="",'App Log'!F71=""),"",IF(TRIM('Actual Game'!F71&amp;"")=TRIM('App Log'!F71&amp;""),"MATCH","DIFF"))</f>
      </c>
      <c r="Q71" s="5">
        <f>IF('Actual Game'!I71="","",'Actual Game'!I71)</f>
      </c>
      <c r="R71" s="5">
        <f>IF('App Log'!I71="","",'App Log'!I71)</f>
      </c>
      <c r="S71" s="5">
        <f>IF(AND('Actual Game'!I71="",'App Log'!I71=""),"",IF(TRIM('Actual Game'!I71&amp;"")=TRIM('App Log'!I71&amp;""),"MATCH","DIFF"))</f>
      </c>
      <c r="T71" s="5">
        <f>IF('Actual Game'!H71="","",'Actual Game'!H71)</f>
      </c>
      <c r="U71" s="5">
        <f>IF('App Log'!H71="","",'App Log'!H71)</f>
      </c>
      <c r="V71" s="5">
        <f>IF(AND('Actual Game'!H71="",'App Log'!H71=""),"",IF(TRIM('Actual Game'!H71&amp;"")=TRIM('App Log'!H71&amp;""),"MATCH","DIFF"))</f>
      </c>
      <c r="W71" s="5">
        <f>IF('Actual Game'!J71="","",'Actual Game'!J71)</f>
      </c>
      <c r="X71" s="5">
        <f>IF('App Log'!J71="","",'App Log'!J71)</f>
      </c>
      <c r="Y71" s="5">
        <f>IF(AND('Actual Game'!J71="",'App Log'!J71=""),"",IF(TRIM('Actual Game'!J71&amp;"")=TRIM('App Log'!J71&amp;""),"MATCH","DIFF"))</f>
      </c>
      <c r="Z71" s="5">
        <f>IF('Actual Game'!K71="","",'Actual Game'!K71)</f>
      </c>
      <c r="AA71" s="5">
        <f>IF('App Log'!K71="","",'App Log'!K71)</f>
      </c>
      <c r="AB71" s="5">
        <f>IF(AND('Actual Game'!K71="",'App Log'!K71=""),"",IF(TRIM('Actual Game'!K71&amp;"")=TRIM('App Log'!K71&amp;""),"MATCH","DIFF"))</f>
      </c>
      <c r="AC71" s="5">
        <f>IF(AND('Actual Game'!A71="",'App Log'!A71=""),"",IF(COUNTIF(D71:AB71,"DIFF")=0,"MATCH","CHECK"))</f>
      </c>
    </row>
    <row r="72" ht="19" customHeight="1">
      <c r="A72" s="5"/>
      <c r="B72" s="5">
        <f>IF('Actual Game'!B72="","",'Actual Game'!B72)</f>
      </c>
      <c r="C72" s="5">
        <f>IF('App Log'!B72="","",'App Log'!B72)</f>
      </c>
      <c r="D72" s="5">
        <f>IF(AND('Actual Game'!B72="",'App Log'!B72=""),"",IF(TRIM('Actual Game'!B72&amp;"")=TRIM('App Log'!B72&amp;""),"MATCH","DIFF"))</f>
      </c>
      <c r="E72" s="5">
        <f>IF('Actual Game'!C72="","",'Actual Game'!C72)</f>
      </c>
      <c r="F72" s="5">
        <f>IF('App Log'!C72="","",'App Log'!C72)</f>
      </c>
      <c r="G72" s="5">
        <f>IF(AND('Actual Game'!C72="",'App Log'!C72=""),"",IF(TRIM('Actual Game'!C72&amp;"")=TRIM('App Log'!C72&amp;""),"MATCH","DIFF"))</f>
      </c>
      <c r="H72" s="5">
        <f>IF('Actual Game'!D72="","",'Actual Game'!D72)</f>
      </c>
      <c r="I72" s="5">
        <f>IF('App Log'!D72="","",'App Log'!D72)</f>
      </c>
      <c r="J72" s="5">
        <f>IF(AND('Actual Game'!D72="",'App Log'!D72=""),"",IF(TRIM('Actual Game'!D72&amp;"")=TRIM('App Log'!D72&amp;""),"MATCH","DIFF"))</f>
      </c>
      <c r="K72" s="5">
        <f>IF('Actual Game'!E72="","",'Actual Game'!E72)</f>
      </c>
      <c r="L72" s="5">
        <f>IF('App Log'!E72="","",'App Log'!E72)</f>
      </c>
      <c r="M72" s="5">
        <f>IF(AND('Actual Game'!E72="",'App Log'!E72=""),"",IF(TRIM('Actual Game'!E72&amp;"")=TRIM('App Log'!E72&amp;""),"MATCH","DIFF"))</f>
      </c>
      <c r="N72" s="5">
        <f>IF('Actual Game'!F72="","",'Actual Game'!F72)</f>
      </c>
      <c r="O72" s="5">
        <f>IF('App Log'!F72="","",'App Log'!F72)</f>
      </c>
      <c r="P72" s="5">
        <f>IF(AND('Actual Game'!F72="",'App Log'!F72=""),"",IF(TRIM('Actual Game'!F72&amp;"")=TRIM('App Log'!F72&amp;""),"MATCH","DIFF"))</f>
      </c>
      <c r="Q72" s="5">
        <f>IF('Actual Game'!I72="","",'Actual Game'!I72)</f>
      </c>
      <c r="R72" s="5">
        <f>IF('App Log'!I72="","",'App Log'!I72)</f>
      </c>
      <c r="S72" s="5">
        <f>IF(AND('Actual Game'!I72="",'App Log'!I72=""),"",IF(TRIM('Actual Game'!I72&amp;"")=TRIM('App Log'!I72&amp;""),"MATCH","DIFF"))</f>
      </c>
      <c r="T72" s="5">
        <f>IF('Actual Game'!H72="","",'Actual Game'!H72)</f>
      </c>
      <c r="U72" s="5">
        <f>IF('App Log'!H72="","",'App Log'!H72)</f>
      </c>
      <c r="V72" s="5">
        <f>IF(AND('Actual Game'!H72="",'App Log'!H72=""),"",IF(TRIM('Actual Game'!H72&amp;"")=TRIM('App Log'!H72&amp;""),"MATCH","DIFF"))</f>
      </c>
      <c r="W72" s="5">
        <f>IF('Actual Game'!J72="","",'Actual Game'!J72)</f>
      </c>
      <c r="X72" s="5">
        <f>IF('App Log'!J72="","",'App Log'!J72)</f>
      </c>
      <c r="Y72" s="5">
        <f>IF(AND('Actual Game'!J72="",'App Log'!J72=""),"",IF(TRIM('Actual Game'!J72&amp;"")=TRIM('App Log'!J72&amp;""),"MATCH","DIFF"))</f>
      </c>
      <c r="Z72" s="5">
        <f>IF('Actual Game'!K72="","",'Actual Game'!K72)</f>
      </c>
      <c r="AA72" s="5">
        <f>IF('App Log'!K72="","",'App Log'!K72)</f>
      </c>
      <c r="AB72" s="5">
        <f>IF(AND('Actual Game'!K72="",'App Log'!K72=""),"",IF(TRIM('Actual Game'!K72&amp;"")=TRIM('App Log'!K72&amp;""),"MATCH","DIFF"))</f>
      </c>
      <c r="AC72" s="5">
        <f>IF(AND('Actual Game'!A72="",'App Log'!A72=""),"",IF(COUNTIF(D72:AB72,"DIFF")=0,"MATCH","CHECK"))</f>
      </c>
    </row>
    <row r="73" ht="19" customHeight="1">
      <c r="A73" s="5"/>
      <c r="B73" s="5">
        <f>IF('Actual Game'!B73="","",'Actual Game'!B73)</f>
      </c>
      <c r="C73" s="5">
        <f>IF('App Log'!B73="","",'App Log'!B73)</f>
      </c>
      <c r="D73" s="5">
        <f>IF(AND('Actual Game'!B73="",'App Log'!B73=""),"",IF(TRIM('Actual Game'!B73&amp;"")=TRIM('App Log'!B73&amp;""),"MATCH","DIFF"))</f>
      </c>
      <c r="E73" s="5">
        <f>IF('Actual Game'!C73="","",'Actual Game'!C73)</f>
      </c>
      <c r="F73" s="5">
        <f>IF('App Log'!C73="","",'App Log'!C73)</f>
      </c>
      <c r="G73" s="5">
        <f>IF(AND('Actual Game'!C73="",'App Log'!C73=""),"",IF(TRIM('Actual Game'!C73&amp;"")=TRIM('App Log'!C73&amp;""),"MATCH","DIFF"))</f>
      </c>
      <c r="H73" s="5">
        <f>IF('Actual Game'!D73="","",'Actual Game'!D73)</f>
      </c>
      <c r="I73" s="5">
        <f>IF('App Log'!D73="","",'App Log'!D73)</f>
      </c>
      <c r="J73" s="5">
        <f>IF(AND('Actual Game'!D73="",'App Log'!D73=""),"",IF(TRIM('Actual Game'!D73&amp;"")=TRIM('App Log'!D73&amp;""),"MATCH","DIFF"))</f>
      </c>
      <c r="K73" s="5">
        <f>IF('Actual Game'!E73="","",'Actual Game'!E73)</f>
      </c>
      <c r="L73" s="5">
        <f>IF('App Log'!E73="","",'App Log'!E73)</f>
      </c>
      <c r="M73" s="5">
        <f>IF(AND('Actual Game'!E73="",'App Log'!E73=""),"",IF(TRIM('Actual Game'!E73&amp;"")=TRIM('App Log'!E73&amp;""),"MATCH","DIFF"))</f>
      </c>
      <c r="N73" s="5">
        <f>IF('Actual Game'!F73="","",'Actual Game'!F73)</f>
      </c>
      <c r="O73" s="5">
        <f>IF('App Log'!F73="","",'App Log'!F73)</f>
      </c>
      <c r="P73" s="5">
        <f>IF(AND('Actual Game'!F73="",'App Log'!F73=""),"",IF(TRIM('Actual Game'!F73&amp;"")=TRIM('App Log'!F73&amp;""),"MATCH","DIFF"))</f>
      </c>
      <c r="Q73" s="5">
        <f>IF('Actual Game'!I73="","",'Actual Game'!I73)</f>
      </c>
      <c r="R73" s="5">
        <f>IF('App Log'!I73="","",'App Log'!I73)</f>
      </c>
      <c r="S73" s="5">
        <f>IF(AND('Actual Game'!I73="",'App Log'!I73=""),"",IF(TRIM('Actual Game'!I73&amp;"")=TRIM('App Log'!I73&amp;""),"MATCH","DIFF"))</f>
      </c>
      <c r="T73" s="5">
        <f>IF('Actual Game'!H73="","",'Actual Game'!H73)</f>
      </c>
      <c r="U73" s="5">
        <f>IF('App Log'!H73="","",'App Log'!H73)</f>
      </c>
      <c r="V73" s="5">
        <f>IF(AND('Actual Game'!H73="",'App Log'!H73=""),"",IF(TRIM('Actual Game'!H73&amp;"")=TRIM('App Log'!H73&amp;""),"MATCH","DIFF"))</f>
      </c>
      <c r="W73" s="5">
        <f>IF('Actual Game'!J73="","",'Actual Game'!J73)</f>
      </c>
      <c r="X73" s="5">
        <f>IF('App Log'!J73="","",'App Log'!J73)</f>
      </c>
      <c r="Y73" s="5">
        <f>IF(AND('Actual Game'!J73="",'App Log'!J73=""),"",IF(TRIM('Actual Game'!J73&amp;"")=TRIM('App Log'!J73&amp;""),"MATCH","DIFF"))</f>
      </c>
      <c r="Z73" s="5">
        <f>IF('Actual Game'!K73="","",'Actual Game'!K73)</f>
      </c>
      <c r="AA73" s="5">
        <f>IF('App Log'!K73="","",'App Log'!K73)</f>
      </c>
      <c r="AB73" s="5">
        <f>IF(AND('Actual Game'!K73="",'App Log'!K73=""),"",IF(TRIM('Actual Game'!K73&amp;"")=TRIM('App Log'!K73&amp;""),"MATCH","DIFF"))</f>
      </c>
      <c r="AC73" s="5">
        <f>IF(AND('Actual Game'!A73="",'App Log'!A73=""),"",IF(COUNTIF(D73:AB73,"DIFF")=0,"MATCH","CHECK"))</f>
      </c>
    </row>
    <row r="74" ht="19" customHeight="1">
      <c r="A74" s="5"/>
      <c r="B74" s="5">
        <f>IF('Actual Game'!B74="","",'Actual Game'!B74)</f>
      </c>
      <c r="C74" s="5">
        <f>IF('App Log'!B74="","",'App Log'!B74)</f>
      </c>
      <c r="D74" s="5">
        <f>IF(AND('Actual Game'!B74="",'App Log'!B74=""),"",IF(TRIM('Actual Game'!B74&amp;"")=TRIM('App Log'!B74&amp;""),"MATCH","DIFF"))</f>
      </c>
      <c r="E74" s="5">
        <f>IF('Actual Game'!C74="","",'Actual Game'!C74)</f>
      </c>
      <c r="F74" s="5">
        <f>IF('App Log'!C74="","",'App Log'!C74)</f>
      </c>
      <c r="G74" s="5">
        <f>IF(AND('Actual Game'!C74="",'App Log'!C74=""),"",IF(TRIM('Actual Game'!C74&amp;"")=TRIM('App Log'!C74&amp;""),"MATCH","DIFF"))</f>
      </c>
      <c r="H74" s="5">
        <f>IF('Actual Game'!D74="","",'Actual Game'!D74)</f>
      </c>
      <c r="I74" s="5">
        <f>IF('App Log'!D74="","",'App Log'!D74)</f>
      </c>
      <c r="J74" s="5">
        <f>IF(AND('Actual Game'!D74="",'App Log'!D74=""),"",IF(TRIM('Actual Game'!D74&amp;"")=TRIM('App Log'!D74&amp;""),"MATCH","DIFF"))</f>
      </c>
      <c r="K74" s="5">
        <f>IF('Actual Game'!E74="","",'Actual Game'!E74)</f>
      </c>
      <c r="L74" s="5">
        <f>IF('App Log'!E74="","",'App Log'!E74)</f>
      </c>
      <c r="M74" s="5">
        <f>IF(AND('Actual Game'!E74="",'App Log'!E74=""),"",IF(TRIM('Actual Game'!E74&amp;"")=TRIM('App Log'!E74&amp;""),"MATCH","DIFF"))</f>
      </c>
      <c r="N74" s="5">
        <f>IF('Actual Game'!F74="","",'Actual Game'!F74)</f>
      </c>
      <c r="O74" s="5">
        <f>IF('App Log'!F74="","",'App Log'!F74)</f>
      </c>
      <c r="P74" s="5">
        <f>IF(AND('Actual Game'!F74="",'App Log'!F74=""),"",IF(TRIM('Actual Game'!F74&amp;"")=TRIM('App Log'!F74&amp;""),"MATCH","DIFF"))</f>
      </c>
      <c r="Q74" s="5">
        <f>IF('Actual Game'!I74="","",'Actual Game'!I74)</f>
      </c>
      <c r="R74" s="5">
        <f>IF('App Log'!I74="","",'App Log'!I74)</f>
      </c>
      <c r="S74" s="5">
        <f>IF(AND('Actual Game'!I74="",'App Log'!I74=""),"",IF(TRIM('Actual Game'!I74&amp;"")=TRIM('App Log'!I74&amp;""),"MATCH","DIFF"))</f>
      </c>
      <c r="T74" s="5">
        <f>IF('Actual Game'!H74="","",'Actual Game'!H74)</f>
      </c>
      <c r="U74" s="5">
        <f>IF('App Log'!H74="","",'App Log'!H74)</f>
      </c>
      <c r="V74" s="5">
        <f>IF(AND('Actual Game'!H74="",'App Log'!H74=""),"",IF(TRIM('Actual Game'!H74&amp;"")=TRIM('App Log'!H74&amp;""),"MATCH","DIFF"))</f>
      </c>
      <c r="W74" s="5">
        <f>IF('Actual Game'!J74="","",'Actual Game'!J74)</f>
      </c>
      <c r="X74" s="5">
        <f>IF('App Log'!J74="","",'App Log'!J74)</f>
      </c>
      <c r="Y74" s="5">
        <f>IF(AND('Actual Game'!J74="",'App Log'!J74=""),"",IF(TRIM('Actual Game'!J74&amp;"")=TRIM('App Log'!J74&amp;""),"MATCH","DIFF"))</f>
      </c>
      <c r="Z74" s="5">
        <f>IF('Actual Game'!K74="","",'Actual Game'!K74)</f>
      </c>
      <c r="AA74" s="5">
        <f>IF('App Log'!K74="","",'App Log'!K74)</f>
      </c>
      <c r="AB74" s="5">
        <f>IF(AND('Actual Game'!K74="",'App Log'!K74=""),"",IF(TRIM('Actual Game'!K74&amp;"")=TRIM('App Log'!K74&amp;""),"MATCH","DIFF"))</f>
      </c>
      <c r="AC74" s="5">
        <f>IF(AND('Actual Game'!A74="",'App Log'!A74=""),"",IF(COUNTIF(D74:AB74,"DIFF")=0,"MATCH","CHECK"))</f>
      </c>
    </row>
    <row r="75" ht="19" customHeight="1">
      <c r="A75" s="5"/>
      <c r="B75" s="5">
        <f>IF('Actual Game'!B75="","",'Actual Game'!B75)</f>
      </c>
      <c r="C75" s="5">
        <f>IF('App Log'!B75="","",'App Log'!B75)</f>
      </c>
      <c r="D75" s="5">
        <f>IF(AND('Actual Game'!B75="",'App Log'!B75=""),"",IF(TRIM('Actual Game'!B75&amp;"")=TRIM('App Log'!B75&amp;""),"MATCH","DIFF"))</f>
      </c>
      <c r="E75" s="5">
        <f>IF('Actual Game'!C75="","",'Actual Game'!C75)</f>
      </c>
      <c r="F75" s="5">
        <f>IF('App Log'!C75="","",'App Log'!C75)</f>
      </c>
      <c r="G75" s="5">
        <f>IF(AND('Actual Game'!C75="",'App Log'!C75=""),"",IF(TRIM('Actual Game'!C75&amp;"")=TRIM('App Log'!C75&amp;""),"MATCH","DIFF"))</f>
      </c>
      <c r="H75" s="5">
        <f>IF('Actual Game'!D75="","",'Actual Game'!D75)</f>
      </c>
      <c r="I75" s="5">
        <f>IF('App Log'!D75="","",'App Log'!D75)</f>
      </c>
      <c r="J75" s="5">
        <f>IF(AND('Actual Game'!D75="",'App Log'!D75=""),"",IF(TRIM('Actual Game'!D75&amp;"")=TRIM('App Log'!D75&amp;""),"MATCH","DIFF"))</f>
      </c>
      <c r="K75" s="5">
        <f>IF('Actual Game'!E75="","",'Actual Game'!E75)</f>
      </c>
      <c r="L75" s="5">
        <f>IF('App Log'!E75="","",'App Log'!E75)</f>
      </c>
      <c r="M75" s="5">
        <f>IF(AND('Actual Game'!E75="",'App Log'!E75=""),"",IF(TRIM('Actual Game'!E75&amp;"")=TRIM('App Log'!E75&amp;""),"MATCH","DIFF"))</f>
      </c>
      <c r="N75" s="5">
        <f>IF('Actual Game'!F75="","",'Actual Game'!F75)</f>
      </c>
      <c r="O75" s="5">
        <f>IF('App Log'!F75="","",'App Log'!F75)</f>
      </c>
      <c r="P75" s="5">
        <f>IF(AND('Actual Game'!F75="",'App Log'!F75=""),"",IF(TRIM('Actual Game'!F75&amp;"")=TRIM('App Log'!F75&amp;""),"MATCH","DIFF"))</f>
      </c>
      <c r="Q75" s="5">
        <f>IF('Actual Game'!I75="","",'Actual Game'!I75)</f>
      </c>
      <c r="R75" s="5">
        <f>IF('App Log'!I75="","",'App Log'!I75)</f>
      </c>
      <c r="S75" s="5">
        <f>IF(AND('Actual Game'!I75="",'App Log'!I75=""),"",IF(TRIM('Actual Game'!I75&amp;"")=TRIM('App Log'!I75&amp;""),"MATCH","DIFF"))</f>
      </c>
      <c r="T75" s="5">
        <f>IF('Actual Game'!H75="","",'Actual Game'!H75)</f>
      </c>
      <c r="U75" s="5">
        <f>IF('App Log'!H75="","",'App Log'!H75)</f>
      </c>
      <c r="V75" s="5">
        <f>IF(AND('Actual Game'!H75="",'App Log'!H75=""),"",IF(TRIM('Actual Game'!H75&amp;"")=TRIM('App Log'!H75&amp;""),"MATCH","DIFF"))</f>
      </c>
      <c r="W75" s="5">
        <f>IF('Actual Game'!J75="","",'Actual Game'!J75)</f>
      </c>
      <c r="X75" s="5">
        <f>IF('App Log'!J75="","",'App Log'!J75)</f>
      </c>
      <c r="Y75" s="5">
        <f>IF(AND('Actual Game'!J75="",'App Log'!J75=""),"",IF(TRIM('Actual Game'!J75&amp;"")=TRIM('App Log'!J75&amp;""),"MATCH","DIFF"))</f>
      </c>
      <c r="Z75" s="5">
        <f>IF('Actual Game'!K75="","",'Actual Game'!K75)</f>
      </c>
      <c r="AA75" s="5">
        <f>IF('App Log'!K75="","",'App Log'!K75)</f>
      </c>
      <c r="AB75" s="5">
        <f>IF(AND('Actual Game'!K75="",'App Log'!K75=""),"",IF(TRIM('Actual Game'!K75&amp;"")=TRIM('App Log'!K75&amp;""),"MATCH","DIFF"))</f>
      </c>
      <c r="AC75" s="5">
        <f>IF(AND('Actual Game'!A75="",'App Log'!A75=""),"",IF(COUNTIF(D75:AB75,"DIFF")=0,"MATCH","CHECK"))</f>
      </c>
    </row>
    <row r="76" ht="19" customHeight="1">
      <c r="A76" s="5"/>
      <c r="B76" s="5">
        <f>IF('Actual Game'!B76="","",'Actual Game'!B76)</f>
      </c>
      <c r="C76" s="5">
        <f>IF('App Log'!B76="","",'App Log'!B76)</f>
      </c>
      <c r="D76" s="5">
        <f>IF(AND('Actual Game'!B76="",'App Log'!B76=""),"",IF(TRIM('Actual Game'!B76&amp;"")=TRIM('App Log'!B76&amp;""),"MATCH","DIFF"))</f>
      </c>
      <c r="E76" s="5">
        <f>IF('Actual Game'!C76="","",'Actual Game'!C76)</f>
      </c>
      <c r="F76" s="5">
        <f>IF('App Log'!C76="","",'App Log'!C76)</f>
      </c>
      <c r="G76" s="5">
        <f>IF(AND('Actual Game'!C76="",'App Log'!C76=""),"",IF(TRIM('Actual Game'!C76&amp;"")=TRIM('App Log'!C76&amp;""),"MATCH","DIFF"))</f>
      </c>
      <c r="H76" s="5">
        <f>IF('Actual Game'!D76="","",'Actual Game'!D76)</f>
      </c>
      <c r="I76" s="5">
        <f>IF('App Log'!D76="","",'App Log'!D76)</f>
      </c>
      <c r="J76" s="5">
        <f>IF(AND('Actual Game'!D76="",'App Log'!D76=""),"",IF(TRIM('Actual Game'!D76&amp;"")=TRIM('App Log'!D76&amp;""),"MATCH","DIFF"))</f>
      </c>
      <c r="K76" s="5">
        <f>IF('Actual Game'!E76="","",'Actual Game'!E76)</f>
      </c>
      <c r="L76" s="5">
        <f>IF('App Log'!E76="","",'App Log'!E76)</f>
      </c>
      <c r="M76" s="5">
        <f>IF(AND('Actual Game'!E76="",'App Log'!E76=""),"",IF(TRIM('Actual Game'!E76&amp;"")=TRIM('App Log'!E76&amp;""),"MATCH","DIFF"))</f>
      </c>
      <c r="N76" s="5">
        <f>IF('Actual Game'!F76="","",'Actual Game'!F76)</f>
      </c>
      <c r="O76" s="5">
        <f>IF('App Log'!F76="","",'App Log'!F76)</f>
      </c>
      <c r="P76" s="5">
        <f>IF(AND('Actual Game'!F76="",'App Log'!F76=""),"",IF(TRIM('Actual Game'!F76&amp;"")=TRIM('App Log'!F76&amp;""),"MATCH","DIFF"))</f>
      </c>
      <c r="Q76" s="5">
        <f>IF('Actual Game'!I76="","",'Actual Game'!I76)</f>
      </c>
      <c r="R76" s="5">
        <f>IF('App Log'!I76="","",'App Log'!I76)</f>
      </c>
      <c r="S76" s="5">
        <f>IF(AND('Actual Game'!I76="",'App Log'!I76=""),"",IF(TRIM('Actual Game'!I76&amp;"")=TRIM('App Log'!I76&amp;""),"MATCH","DIFF"))</f>
      </c>
      <c r="T76" s="5">
        <f>IF('Actual Game'!H76="","",'Actual Game'!H76)</f>
      </c>
      <c r="U76" s="5">
        <f>IF('App Log'!H76="","",'App Log'!H76)</f>
      </c>
      <c r="V76" s="5">
        <f>IF(AND('Actual Game'!H76="",'App Log'!H76=""),"",IF(TRIM('Actual Game'!H76&amp;"")=TRIM('App Log'!H76&amp;""),"MATCH","DIFF"))</f>
      </c>
      <c r="W76" s="5">
        <f>IF('Actual Game'!J76="","",'Actual Game'!J76)</f>
      </c>
      <c r="X76" s="5">
        <f>IF('App Log'!J76="","",'App Log'!J76)</f>
      </c>
      <c r="Y76" s="5">
        <f>IF(AND('Actual Game'!J76="",'App Log'!J76=""),"",IF(TRIM('Actual Game'!J76&amp;"")=TRIM('App Log'!J76&amp;""),"MATCH","DIFF"))</f>
      </c>
      <c r="Z76" s="5">
        <f>IF('Actual Game'!K76="","",'Actual Game'!K76)</f>
      </c>
      <c r="AA76" s="5">
        <f>IF('App Log'!K76="","",'App Log'!K76)</f>
      </c>
      <c r="AB76" s="5">
        <f>IF(AND('Actual Game'!K76="",'App Log'!K76=""),"",IF(TRIM('Actual Game'!K76&amp;"")=TRIM('App Log'!K76&amp;""),"MATCH","DIFF"))</f>
      </c>
      <c r="AC76" s="5">
        <f>IF(AND('Actual Game'!A76="",'App Log'!A76=""),"",IF(COUNTIF(D76:AB76,"DIFF")=0,"MATCH","CHECK"))</f>
      </c>
    </row>
    <row r="77" ht="19" customHeight="1">
      <c r="A77" s="5"/>
      <c r="B77" s="5">
        <f>IF('Actual Game'!B77="","",'Actual Game'!B77)</f>
      </c>
      <c r="C77" s="5">
        <f>IF('App Log'!B77="","",'App Log'!B77)</f>
      </c>
      <c r="D77" s="5">
        <f>IF(AND('Actual Game'!B77="",'App Log'!B77=""),"",IF(TRIM('Actual Game'!B77&amp;"")=TRIM('App Log'!B77&amp;""),"MATCH","DIFF"))</f>
      </c>
      <c r="E77" s="5">
        <f>IF('Actual Game'!C77="","",'Actual Game'!C77)</f>
      </c>
      <c r="F77" s="5">
        <f>IF('App Log'!C77="","",'App Log'!C77)</f>
      </c>
      <c r="G77" s="5">
        <f>IF(AND('Actual Game'!C77="",'App Log'!C77=""),"",IF(TRIM('Actual Game'!C77&amp;"")=TRIM('App Log'!C77&amp;""),"MATCH","DIFF"))</f>
      </c>
      <c r="H77" s="5">
        <f>IF('Actual Game'!D77="","",'Actual Game'!D77)</f>
      </c>
      <c r="I77" s="5">
        <f>IF('App Log'!D77="","",'App Log'!D77)</f>
      </c>
      <c r="J77" s="5">
        <f>IF(AND('Actual Game'!D77="",'App Log'!D77=""),"",IF(TRIM('Actual Game'!D77&amp;"")=TRIM('App Log'!D77&amp;""),"MATCH","DIFF"))</f>
      </c>
      <c r="K77" s="5">
        <f>IF('Actual Game'!E77="","",'Actual Game'!E77)</f>
      </c>
      <c r="L77" s="5">
        <f>IF('App Log'!E77="","",'App Log'!E77)</f>
      </c>
      <c r="M77" s="5">
        <f>IF(AND('Actual Game'!E77="",'App Log'!E77=""),"",IF(TRIM('Actual Game'!E77&amp;"")=TRIM('App Log'!E77&amp;""),"MATCH","DIFF"))</f>
      </c>
      <c r="N77" s="5">
        <f>IF('Actual Game'!F77="","",'Actual Game'!F77)</f>
      </c>
      <c r="O77" s="5">
        <f>IF('App Log'!F77="","",'App Log'!F77)</f>
      </c>
      <c r="P77" s="5">
        <f>IF(AND('Actual Game'!F77="",'App Log'!F77=""),"",IF(TRIM('Actual Game'!F77&amp;"")=TRIM('App Log'!F77&amp;""),"MATCH","DIFF"))</f>
      </c>
      <c r="Q77" s="5">
        <f>IF('Actual Game'!I77="","",'Actual Game'!I77)</f>
      </c>
      <c r="R77" s="5">
        <f>IF('App Log'!I77="","",'App Log'!I77)</f>
      </c>
      <c r="S77" s="5">
        <f>IF(AND('Actual Game'!I77="",'App Log'!I77=""),"",IF(TRIM('Actual Game'!I77&amp;"")=TRIM('App Log'!I77&amp;""),"MATCH","DIFF"))</f>
      </c>
      <c r="T77" s="5">
        <f>IF('Actual Game'!H77="","",'Actual Game'!H77)</f>
      </c>
      <c r="U77" s="5">
        <f>IF('App Log'!H77="","",'App Log'!H77)</f>
      </c>
      <c r="V77" s="5">
        <f>IF(AND('Actual Game'!H77="",'App Log'!H77=""),"",IF(TRIM('Actual Game'!H77&amp;"")=TRIM('App Log'!H77&amp;""),"MATCH","DIFF"))</f>
      </c>
      <c r="W77" s="5">
        <f>IF('Actual Game'!J77="","",'Actual Game'!J77)</f>
      </c>
      <c r="X77" s="5">
        <f>IF('App Log'!J77="","",'App Log'!J77)</f>
      </c>
      <c r="Y77" s="5">
        <f>IF(AND('Actual Game'!J77="",'App Log'!J77=""),"",IF(TRIM('Actual Game'!J77&amp;"")=TRIM('App Log'!J77&amp;""),"MATCH","DIFF"))</f>
      </c>
      <c r="Z77" s="5">
        <f>IF('Actual Game'!K77="","",'Actual Game'!K77)</f>
      </c>
      <c r="AA77" s="5">
        <f>IF('App Log'!K77="","",'App Log'!K77)</f>
      </c>
      <c r="AB77" s="5">
        <f>IF(AND('Actual Game'!K77="",'App Log'!K77=""),"",IF(TRIM('Actual Game'!K77&amp;"")=TRIM('App Log'!K77&amp;""),"MATCH","DIFF"))</f>
      </c>
      <c r="AC77" s="5">
        <f>IF(AND('Actual Game'!A77="",'App Log'!A77=""),"",IF(COUNTIF(D77:AB77,"DIFF")=0,"MATCH","CHECK"))</f>
      </c>
    </row>
    <row r="78" ht="19" customHeight="1">
      <c r="A78" s="5"/>
      <c r="B78" s="5">
        <f>IF('Actual Game'!B78="","",'Actual Game'!B78)</f>
      </c>
      <c r="C78" s="5">
        <f>IF('App Log'!B78="","",'App Log'!B78)</f>
      </c>
      <c r="D78" s="5">
        <f>IF(AND('Actual Game'!B78="",'App Log'!B78=""),"",IF(TRIM('Actual Game'!B78&amp;"")=TRIM('App Log'!B78&amp;""),"MATCH","DIFF"))</f>
      </c>
      <c r="E78" s="5">
        <f>IF('Actual Game'!C78="","",'Actual Game'!C78)</f>
      </c>
      <c r="F78" s="5">
        <f>IF('App Log'!C78="","",'App Log'!C78)</f>
      </c>
      <c r="G78" s="5">
        <f>IF(AND('Actual Game'!C78="",'App Log'!C78=""),"",IF(TRIM('Actual Game'!C78&amp;"")=TRIM('App Log'!C78&amp;""),"MATCH","DIFF"))</f>
      </c>
      <c r="H78" s="5">
        <f>IF('Actual Game'!D78="","",'Actual Game'!D78)</f>
      </c>
      <c r="I78" s="5">
        <f>IF('App Log'!D78="","",'App Log'!D78)</f>
      </c>
      <c r="J78" s="5">
        <f>IF(AND('Actual Game'!D78="",'App Log'!D78=""),"",IF(TRIM('Actual Game'!D78&amp;"")=TRIM('App Log'!D78&amp;""),"MATCH","DIFF"))</f>
      </c>
      <c r="K78" s="5">
        <f>IF('Actual Game'!E78="","",'Actual Game'!E78)</f>
      </c>
      <c r="L78" s="5">
        <f>IF('App Log'!E78="","",'App Log'!E78)</f>
      </c>
      <c r="M78" s="5">
        <f>IF(AND('Actual Game'!E78="",'App Log'!E78=""),"",IF(TRIM('Actual Game'!E78&amp;"")=TRIM('App Log'!E78&amp;""),"MATCH","DIFF"))</f>
      </c>
      <c r="N78" s="5">
        <f>IF('Actual Game'!F78="","",'Actual Game'!F78)</f>
      </c>
      <c r="O78" s="5">
        <f>IF('App Log'!F78="","",'App Log'!F78)</f>
      </c>
      <c r="P78" s="5">
        <f>IF(AND('Actual Game'!F78="",'App Log'!F78=""),"",IF(TRIM('Actual Game'!F78&amp;"")=TRIM('App Log'!F78&amp;""),"MATCH","DIFF"))</f>
      </c>
      <c r="Q78" s="5">
        <f>IF('Actual Game'!I78="","",'Actual Game'!I78)</f>
      </c>
      <c r="R78" s="5">
        <f>IF('App Log'!I78="","",'App Log'!I78)</f>
      </c>
      <c r="S78" s="5">
        <f>IF(AND('Actual Game'!I78="",'App Log'!I78=""),"",IF(TRIM('Actual Game'!I78&amp;"")=TRIM('App Log'!I78&amp;""),"MATCH","DIFF"))</f>
      </c>
      <c r="T78" s="5">
        <f>IF('Actual Game'!H78="","",'Actual Game'!H78)</f>
      </c>
      <c r="U78" s="5">
        <f>IF('App Log'!H78="","",'App Log'!H78)</f>
      </c>
      <c r="V78" s="5">
        <f>IF(AND('Actual Game'!H78="",'App Log'!H78=""),"",IF(TRIM('Actual Game'!H78&amp;"")=TRIM('App Log'!H78&amp;""),"MATCH","DIFF"))</f>
      </c>
      <c r="W78" s="5">
        <f>IF('Actual Game'!J78="","",'Actual Game'!J78)</f>
      </c>
      <c r="X78" s="5">
        <f>IF('App Log'!J78="","",'App Log'!J78)</f>
      </c>
      <c r="Y78" s="5">
        <f>IF(AND('Actual Game'!J78="",'App Log'!J78=""),"",IF(TRIM('Actual Game'!J78&amp;"")=TRIM('App Log'!J78&amp;""),"MATCH","DIFF"))</f>
      </c>
      <c r="Z78" s="5">
        <f>IF('Actual Game'!K78="","",'Actual Game'!K78)</f>
      </c>
      <c r="AA78" s="5">
        <f>IF('App Log'!K78="","",'App Log'!K78)</f>
      </c>
      <c r="AB78" s="5">
        <f>IF(AND('Actual Game'!K78="",'App Log'!K78=""),"",IF(TRIM('Actual Game'!K78&amp;"")=TRIM('App Log'!K78&amp;""),"MATCH","DIFF"))</f>
      </c>
      <c r="AC78" s="5">
        <f>IF(AND('Actual Game'!A78="",'App Log'!A78=""),"",IF(COUNTIF(D78:AB78,"DIFF")=0,"MATCH","CHECK"))</f>
      </c>
    </row>
    <row r="79" ht="19" customHeight="1">
      <c r="A79" s="5"/>
      <c r="B79" s="5">
        <f>IF('Actual Game'!B79="","",'Actual Game'!B79)</f>
      </c>
      <c r="C79" s="5">
        <f>IF('App Log'!B79="","",'App Log'!B79)</f>
      </c>
      <c r="D79" s="5">
        <f>IF(AND('Actual Game'!B79="",'App Log'!B79=""),"",IF(TRIM('Actual Game'!B79&amp;"")=TRIM('App Log'!B79&amp;""),"MATCH","DIFF"))</f>
      </c>
      <c r="E79" s="5">
        <f>IF('Actual Game'!C79="","",'Actual Game'!C79)</f>
      </c>
      <c r="F79" s="5">
        <f>IF('App Log'!C79="","",'App Log'!C79)</f>
      </c>
      <c r="G79" s="5">
        <f>IF(AND('Actual Game'!C79="",'App Log'!C79=""),"",IF(TRIM('Actual Game'!C79&amp;"")=TRIM('App Log'!C79&amp;""),"MATCH","DIFF"))</f>
      </c>
      <c r="H79" s="5">
        <f>IF('Actual Game'!D79="","",'Actual Game'!D79)</f>
      </c>
      <c r="I79" s="5">
        <f>IF('App Log'!D79="","",'App Log'!D79)</f>
      </c>
      <c r="J79" s="5">
        <f>IF(AND('Actual Game'!D79="",'App Log'!D79=""),"",IF(TRIM('Actual Game'!D79&amp;"")=TRIM('App Log'!D79&amp;""),"MATCH","DIFF"))</f>
      </c>
      <c r="K79" s="5">
        <f>IF('Actual Game'!E79="","",'Actual Game'!E79)</f>
      </c>
      <c r="L79" s="5">
        <f>IF('App Log'!E79="","",'App Log'!E79)</f>
      </c>
      <c r="M79" s="5">
        <f>IF(AND('Actual Game'!E79="",'App Log'!E79=""),"",IF(TRIM('Actual Game'!E79&amp;"")=TRIM('App Log'!E79&amp;""),"MATCH","DIFF"))</f>
      </c>
      <c r="N79" s="5">
        <f>IF('Actual Game'!F79="","",'Actual Game'!F79)</f>
      </c>
      <c r="O79" s="5">
        <f>IF('App Log'!F79="","",'App Log'!F79)</f>
      </c>
      <c r="P79" s="5">
        <f>IF(AND('Actual Game'!F79="",'App Log'!F79=""),"",IF(TRIM('Actual Game'!F79&amp;"")=TRIM('App Log'!F79&amp;""),"MATCH","DIFF"))</f>
      </c>
      <c r="Q79" s="5">
        <f>IF('Actual Game'!I79="","",'Actual Game'!I79)</f>
      </c>
      <c r="R79" s="5">
        <f>IF('App Log'!I79="","",'App Log'!I79)</f>
      </c>
      <c r="S79" s="5">
        <f>IF(AND('Actual Game'!I79="",'App Log'!I79=""),"",IF(TRIM('Actual Game'!I79&amp;"")=TRIM('App Log'!I79&amp;""),"MATCH","DIFF"))</f>
      </c>
      <c r="T79" s="5">
        <f>IF('Actual Game'!H79="","",'Actual Game'!H79)</f>
      </c>
      <c r="U79" s="5">
        <f>IF('App Log'!H79="","",'App Log'!H79)</f>
      </c>
      <c r="V79" s="5">
        <f>IF(AND('Actual Game'!H79="",'App Log'!H79=""),"",IF(TRIM('Actual Game'!H79&amp;"")=TRIM('App Log'!H79&amp;""),"MATCH","DIFF"))</f>
      </c>
      <c r="W79" s="5">
        <f>IF('Actual Game'!J79="","",'Actual Game'!J79)</f>
      </c>
      <c r="X79" s="5">
        <f>IF('App Log'!J79="","",'App Log'!J79)</f>
      </c>
      <c r="Y79" s="5">
        <f>IF(AND('Actual Game'!J79="",'App Log'!J79=""),"",IF(TRIM('Actual Game'!J79&amp;"")=TRIM('App Log'!J79&amp;""),"MATCH","DIFF"))</f>
      </c>
      <c r="Z79" s="5">
        <f>IF('Actual Game'!K79="","",'Actual Game'!K79)</f>
      </c>
      <c r="AA79" s="5">
        <f>IF('App Log'!K79="","",'App Log'!K79)</f>
      </c>
      <c r="AB79" s="5">
        <f>IF(AND('Actual Game'!K79="",'App Log'!K79=""),"",IF(TRIM('Actual Game'!K79&amp;"")=TRIM('App Log'!K79&amp;""),"MATCH","DIFF"))</f>
      </c>
      <c r="AC79" s="5">
        <f>IF(AND('Actual Game'!A79="",'App Log'!A79=""),"",IF(COUNTIF(D79:AB79,"DIFF")=0,"MATCH","CHECK"))</f>
      </c>
    </row>
    <row r="80" ht="19" customHeight="1">
      <c r="A80" s="5"/>
      <c r="B80" s="5">
        <f>IF('Actual Game'!B80="","",'Actual Game'!B80)</f>
      </c>
      <c r="C80" s="5">
        <f>IF('App Log'!B80="","",'App Log'!B80)</f>
      </c>
      <c r="D80" s="5">
        <f>IF(AND('Actual Game'!B80="",'App Log'!B80=""),"",IF(TRIM('Actual Game'!B80&amp;"")=TRIM('App Log'!B80&amp;""),"MATCH","DIFF"))</f>
      </c>
      <c r="E80" s="5">
        <f>IF('Actual Game'!C80="","",'Actual Game'!C80)</f>
      </c>
      <c r="F80" s="5">
        <f>IF('App Log'!C80="","",'App Log'!C80)</f>
      </c>
      <c r="G80" s="5">
        <f>IF(AND('Actual Game'!C80="",'App Log'!C80=""),"",IF(TRIM('Actual Game'!C80&amp;"")=TRIM('App Log'!C80&amp;""),"MATCH","DIFF"))</f>
      </c>
      <c r="H80" s="5">
        <f>IF('Actual Game'!D80="","",'Actual Game'!D80)</f>
      </c>
      <c r="I80" s="5">
        <f>IF('App Log'!D80="","",'App Log'!D80)</f>
      </c>
      <c r="J80" s="5">
        <f>IF(AND('Actual Game'!D80="",'App Log'!D80=""),"",IF(TRIM('Actual Game'!D80&amp;"")=TRIM('App Log'!D80&amp;""),"MATCH","DIFF"))</f>
      </c>
      <c r="K80" s="5">
        <f>IF('Actual Game'!E80="","",'Actual Game'!E80)</f>
      </c>
      <c r="L80" s="5">
        <f>IF('App Log'!E80="","",'App Log'!E80)</f>
      </c>
      <c r="M80" s="5">
        <f>IF(AND('Actual Game'!E80="",'App Log'!E80=""),"",IF(TRIM('Actual Game'!E80&amp;"")=TRIM('App Log'!E80&amp;""),"MATCH","DIFF"))</f>
      </c>
      <c r="N80" s="5">
        <f>IF('Actual Game'!F80="","",'Actual Game'!F80)</f>
      </c>
      <c r="O80" s="5">
        <f>IF('App Log'!F80="","",'App Log'!F80)</f>
      </c>
      <c r="P80" s="5">
        <f>IF(AND('Actual Game'!F80="",'App Log'!F80=""),"",IF(TRIM('Actual Game'!F80&amp;"")=TRIM('App Log'!F80&amp;""),"MATCH","DIFF"))</f>
      </c>
      <c r="Q80" s="5">
        <f>IF('Actual Game'!I80="","",'Actual Game'!I80)</f>
      </c>
      <c r="R80" s="5">
        <f>IF('App Log'!I80="","",'App Log'!I80)</f>
      </c>
      <c r="S80" s="5">
        <f>IF(AND('Actual Game'!I80="",'App Log'!I80=""),"",IF(TRIM('Actual Game'!I80&amp;"")=TRIM('App Log'!I80&amp;""),"MATCH","DIFF"))</f>
      </c>
      <c r="T80" s="5">
        <f>IF('Actual Game'!H80="","",'Actual Game'!H80)</f>
      </c>
      <c r="U80" s="5">
        <f>IF('App Log'!H80="","",'App Log'!H80)</f>
      </c>
      <c r="V80" s="5">
        <f>IF(AND('Actual Game'!H80="",'App Log'!H80=""),"",IF(TRIM('Actual Game'!H80&amp;"")=TRIM('App Log'!H80&amp;""),"MATCH","DIFF"))</f>
      </c>
      <c r="W80" s="5">
        <f>IF('Actual Game'!J80="","",'Actual Game'!J80)</f>
      </c>
      <c r="X80" s="5">
        <f>IF('App Log'!J80="","",'App Log'!J80)</f>
      </c>
      <c r="Y80" s="5">
        <f>IF(AND('Actual Game'!J80="",'App Log'!J80=""),"",IF(TRIM('Actual Game'!J80&amp;"")=TRIM('App Log'!J80&amp;""),"MATCH","DIFF"))</f>
      </c>
      <c r="Z80" s="5">
        <f>IF('Actual Game'!K80="","",'Actual Game'!K80)</f>
      </c>
      <c r="AA80" s="5">
        <f>IF('App Log'!K80="","",'App Log'!K80)</f>
      </c>
      <c r="AB80" s="5">
        <f>IF(AND('Actual Game'!K80="",'App Log'!K80=""),"",IF(TRIM('Actual Game'!K80&amp;"")=TRIM('App Log'!K80&amp;""),"MATCH","DIFF"))</f>
      </c>
      <c r="AC80" s="5">
        <f>IF(AND('Actual Game'!A80="",'App Log'!A80=""),"",IF(COUNTIF(D80:AB80,"DIFF")=0,"MATCH","CHECK"))</f>
      </c>
    </row>
    <row r="81" ht="19" customHeight="1">
      <c r="A81" s="5"/>
      <c r="B81" s="5">
        <f>IF('Actual Game'!B81="","",'Actual Game'!B81)</f>
      </c>
      <c r="C81" s="5">
        <f>IF('App Log'!B81="","",'App Log'!B81)</f>
      </c>
      <c r="D81" s="5">
        <f>IF(AND('Actual Game'!B81="",'App Log'!B81=""),"",IF(TRIM('Actual Game'!B81&amp;"")=TRIM('App Log'!B81&amp;""),"MATCH","DIFF"))</f>
      </c>
      <c r="E81" s="5">
        <f>IF('Actual Game'!C81="","",'Actual Game'!C81)</f>
      </c>
      <c r="F81" s="5">
        <f>IF('App Log'!C81="","",'App Log'!C81)</f>
      </c>
      <c r="G81" s="5">
        <f>IF(AND('Actual Game'!C81="",'App Log'!C81=""),"",IF(TRIM('Actual Game'!C81&amp;"")=TRIM('App Log'!C81&amp;""),"MATCH","DIFF"))</f>
      </c>
      <c r="H81" s="5">
        <f>IF('Actual Game'!D81="","",'Actual Game'!D81)</f>
      </c>
      <c r="I81" s="5">
        <f>IF('App Log'!D81="","",'App Log'!D81)</f>
      </c>
      <c r="J81" s="5">
        <f>IF(AND('Actual Game'!D81="",'App Log'!D81=""),"",IF(TRIM('Actual Game'!D81&amp;"")=TRIM('App Log'!D81&amp;""),"MATCH","DIFF"))</f>
      </c>
      <c r="K81" s="5">
        <f>IF('Actual Game'!E81="","",'Actual Game'!E81)</f>
      </c>
      <c r="L81" s="5">
        <f>IF('App Log'!E81="","",'App Log'!E81)</f>
      </c>
      <c r="M81" s="5">
        <f>IF(AND('Actual Game'!E81="",'App Log'!E81=""),"",IF(TRIM('Actual Game'!E81&amp;"")=TRIM('App Log'!E81&amp;""),"MATCH","DIFF"))</f>
      </c>
      <c r="N81" s="5">
        <f>IF('Actual Game'!F81="","",'Actual Game'!F81)</f>
      </c>
      <c r="O81" s="5">
        <f>IF('App Log'!F81="","",'App Log'!F81)</f>
      </c>
      <c r="P81" s="5">
        <f>IF(AND('Actual Game'!F81="",'App Log'!F81=""),"",IF(TRIM('Actual Game'!F81&amp;"")=TRIM('App Log'!F81&amp;""),"MATCH","DIFF"))</f>
      </c>
      <c r="Q81" s="5">
        <f>IF('Actual Game'!I81="","",'Actual Game'!I81)</f>
      </c>
      <c r="R81" s="5">
        <f>IF('App Log'!I81="","",'App Log'!I81)</f>
      </c>
      <c r="S81" s="5">
        <f>IF(AND('Actual Game'!I81="",'App Log'!I81=""),"",IF(TRIM('Actual Game'!I81&amp;"")=TRIM('App Log'!I81&amp;""),"MATCH","DIFF"))</f>
      </c>
      <c r="T81" s="5">
        <f>IF('Actual Game'!H81="","",'Actual Game'!H81)</f>
      </c>
      <c r="U81" s="5">
        <f>IF('App Log'!H81="","",'App Log'!H81)</f>
      </c>
      <c r="V81" s="5">
        <f>IF(AND('Actual Game'!H81="",'App Log'!H81=""),"",IF(TRIM('Actual Game'!H81&amp;"")=TRIM('App Log'!H81&amp;""),"MATCH","DIFF"))</f>
      </c>
      <c r="W81" s="5">
        <f>IF('Actual Game'!J81="","",'Actual Game'!J81)</f>
      </c>
      <c r="X81" s="5">
        <f>IF('App Log'!J81="","",'App Log'!J81)</f>
      </c>
      <c r="Y81" s="5">
        <f>IF(AND('Actual Game'!J81="",'App Log'!J81=""),"",IF(TRIM('Actual Game'!J81&amp;"")=TRIM('App Log'!J81&amp;""),"MATCH","DIFF"))</f>
      </c>
      <c r="Z81" s="5">
        <f>IF('Actual Game'!K81="","",'Actual Game'!K81)</f>
      </c>
      <c r="AA81" s="5">
        <f>IF('App Log'!K81="","",'App Log'!K81)</f>
      </c>
      <c r="AB81" s="5">
        <f>IF(AND('Actual Game'!K81="",'App Log'!K81=""),"",IF(TRIM('Actual Game'!K81&amp;"")=TRIM('App Log'!K81&amp;""),"MATCH","DIFF"))</f>
      </c>
      <c r="AC81" s="5">
        <f>IF(AND('Actual Game'!A81="",'App Log'!A81=""),"",IF(COUNTIF(D81:AB81,"DIFF")=0,"MATCH","CHECK"))</f>
      </c>
    </row>
    <row r="82" ht="19" customHeight="1">
      <c r="A82" s="5"/>
      <c r="B82" s="5">
        <f>IF('Actual Game'!B82="","",'Actual Game'!B82)</f>
      </c>
      <c r="C82" s="5">
        <f>IF('App Log'!B82="","",'App Log'!B82)</f>
      </c>
      <c r="D82" s="5">
        <f>IF(AND('Actual Game'!B82="",'App Log'!B82=""),"",IF(TRIM('Actual Game'!B82&amp;"")=TRIM('App Log'!B82&amp;""),"MATCH","DIFF"))</f>
      </c>
      <c r="E82" s="5">
        <f>IF('Actual Game'!C82="","",'Actual Game'!C82)</f>
      </c>
      <c r="F82" s="5">
        <f>IF('App Log'!C82="","",'App Log'!C82)</f>
      </c>
      <c r="G82" s="5">
        <f>IF(AND('Actual Game'!C82="",'App Log'!C82=""),"",IF(TRIM('Actual Game'!C82&amp;"")=TRIM('App Log'!C82&amp;""),"MATCH","DIFF"))</f>
      </c>
      <c r="H82" s="5">
        <f>IF('Actual Game'!D82="","",'Actual Game'!D82)</f>
      </c>
      <c r="I82" s="5">
        <f>IF('App Log'!D82="","",'App Log'!D82)</f>
      </c>
      <c r="J82" s="5">
        <f>IF(AND('Actual Game'!D82="",'App Log'!D82=""),"",IF(TRIM('Actual Game'!D82&amp;"")=TRIM('App Log'!D82&amp;""),"MATCH","DIFF"))</f>
      </c>
      <c r="K82" s="5">
        <f>IF('Actual Game'!E82="","",'Actual Game'!E82)</f>
      </c>
      <c r="L82" s="5">
        <f>IF('App Log'!E82="","",'App Log'!E82)</f>
      </c>
      <c r="M82" s="5">
        <f>IF(AND('Actual Game'!E82="",'App Log'!E82=""),"",IF(TRIM('Actual Game'!E82&amp;"")=TRIM('App Log'!E82&amp;""),"MATCH","DIFF"))</f>
      </c>
      <c r="N82" s="5">
        <f>IF('Actual Game'!F82="","",'Actual Game'!F82)</f>
      </c>
      <c r="O82" s="5">
        <f>IF('App Log'!F82="","",'App Log'!F82)</f>
      </c>
      <c r="P82" s="5">
        <f>IF(AND('Actual Game'!F82="",'App Log'!F82=""),"",IF(TRIM('Actual Game'!F82&amp;"")=TRIM('App Log'!F82&amp;""),"MATCH","DIFF"))</f>
      </c>
      <c r="Q82" s="5">
        <f>IF('Actual Game'!I82="","",'Actual Game'!I82)</f>
      </c>
      <c r="R82" s="5">
        <f>IF('App Log'!I82="","",'App Log'!I82)</f>
      </c>
      <c r="S82" s="5">
        <f>IF(AND('Actual Game'!I82="",'App Log'!I82=""),"",IF(TRIM('Actual Game'!I82&amp;"")=TRIM('App Log'!I82&amp;""),"MATCH","DIFF"))</f>
      </c>
      <c r="T82" s="5">
        <f>IF('Actual Game'!H82="","",'Actual Game'!H82)</f>
      </c>
      <c r="U82" s="5">
        <f>IF('App Log'!H82="","",'App Log'!H82)</f>
      </c>
      <c r="V82" s="5">
        <f>IF(AND('Actual Game'!H82="",'App Log'!H82=""),"",IF(TRIM('Actual Game'!H82&amp;"")=TRIM('App Log'!H82&amp;""),"MATCH","DIFF"))</f>
      </c>
      <c r="W82" s="5">
        <f>IF('Actual Game'!J82="","",'Actual Game'!J82)</f>
      </c>
      <c r="X82" s="5">
        <f>IF('App Log'!J82="","",'App Log'!J82)</f>
      </c>
      <c r="Y82" s="5">
        <f>IF(AND('Actual Game'!J82="",'App Log'!J82=""),"",IF(TRIM('Actual Game'!J82&amp;"")=TRIM('App Log'!J82&amp;""),"MATCH","DIFF"))</f>
      </c>
      <c r="Z82" s="5">
        <f>IF('Actual Game'!K82="","",'Actual Game'!K82)</f>
      </c>
      <c r="AA82" s="5">
        <f>IF('App Log'!K82="","",'App Log'!K82)</f>
      </c>
      <c r="AB82" s="5">
        <f>IF(AND('Actual Game'!K82="",'App Log'!K82=""),"",IF(TRIM('Actual Game'!K82&amp;"")=TRIM('App Log'!K82&amp;""),"MATCH","DIFF"))</f>
      </c>
      <c r="AC82" s="5">
        <f>IF(AND('Actual Game'!A82="",'App Log'!A82=""),"",IF(COUNTIF(D82:AB82,"DIFF")=0,"MATCH","CHECK"))</f>
      </c>
    </row>
    <row r="83" ht="19" customHeight="1">
      <c r="A83" s="5"/>
      <c r="B83" s="5">
        <f>IF('Actual Game'!B83="","",'Actual Game'!B83)</f>
      </c>
      <c r="C83" s="5">
        <f>IF('App Log'!B83="","",'App Log'!B83)</f>
      </c>
      <c r="D83" s="5">
        <f>IF(AND('Actual Game'!B83="",'App Log'!B83=""),"",IF(TRIM('Actual Game'!B83&amp;"")=TRIM('App Log'!B83&amp;""),"MATCH","DIFF"))</f>
      </c>
      <c r="E83" s="5">
        <f>IF('Actual Game'!C83="","",'Actual Game'!C83)</f>
      </c>
      <c r="F83" s="5">
        <f>IF('App Log'!C83="","",'App Log'!C83)</f>
      </c>
      <c r="G83" s="5">
        <f>IF(AND('Actual Game'!C83="",'App Log'!C83=""),"",IF(TRIM('Actual Game'!C83&amp;"")=TRIM('App Log'!C83&amp;""),"MATCH","DIFF"))</f>
      </c>
      <c r="H83" s="5">
        <f>IF('Actual Game'!D83="","",'Actual Game'!D83)</f>
      </c>
      <c r="I83" s="5">
        <f>IF('App Log'!D83="","",'App Log'!D83)</f>
      </c>
      <c r="J83" s="5">
        <f>IF(AND('Actual Game'!D83="",'App Log'!D83=""),"",IF(TRIM('Actual Game'!D83&amp;"")=TRIM('App Log'!D83&amp;""),"MATCH","DIFF"))</f>
      </c>
      <c r="K83" s="5">
        <f>IF('Actual Game'!E83="","",'Actual Game'!E83)</f>
      </c>
      <c r="L83" s="5">
        <f>IF('App Log'!E83="","",'App Log'!E83)</f>
      </c>
      <c r="M83" s="5">
        <f>IF(AND('Actual Game'!E83="",'App Log'!E83=""),"",IF(TRIM('Actual Game'!E83&amp;"")=TRIM('App Log'!E83&amp;""),"MATCH","DIFF"))</f>
      </c>
      <c r="N83" s="5">
        <f>IF('Actual Game'!F83="","",'Actual Game'!F83)</f>
      </c>
      <c r="O83" s="5">
        <f>IF('App Log'!F83="","",'App Log'!F83)</f>
      </c>
      <c r="P83" s="5">
        <f>IF(AND('Actual Game'!F83="",'App Log'!F83=""),"",IF(TRIM('Actual Game'!F83&amp;"")=TRIM('App Log'!F83&amp;""),"MATCH","DIFF"))</f>
      </c>
      <c r="Q83" s="5">
        <f>IF('Actual Game'!I83="","",'Actual Game'!I83)</f>
      </c>
      <c r="R83" s="5">
        <f>IF('App Log'!I83="","",'App Log'!I83)</f>
      </c>
      <c r="S83" s="5">
        <f>IF(AND('Actual Game'!I83="",'App Log'!I83=""),"",IF(TRIM('Actual Game'!I83&amp;"")=TRIM('App Log'!I83&amp;""),"MATCH","DIFF"))</f>
      </c>
      <c r="T83" s="5">
        <f>IF('Actual Game'!H83="","",'Actual Game'!H83)</f>
      </c>
      <c r="U83" s="5">
        <f>IF('App Log'!H83="","",'App Log'!H83)</f>
      </c>
      <c r="V83" s="5">
        <f>IF(AND('Actual Game'!H83="",'App Log'!H83=""),"",IF(TRIM('Actual Game'!H83&amp;"")=TRIM('App Log'!H83&amp;""),"MATCH","DIFF"))</f>
      </c>
      <c r="W83" s="5">
        <f>IF('Actual Game'!J83="","",'Actual Game'!J83)</f>
      </c>
      <c r="X83" s="5">
        <f>IF('App Log'!J83="","",'App Log'!J83)</f>
      </c>
      <c r="Y83" s="5">
        <f>IF(AND('Actual Game'!J83="",'App Log'!J83=""),"",IF(TRIM('Actual Game'!J83&amp;"")=TRIM('App Log'!J83&amp;""),"MATCH","DIFF"))</f>
      </c>
      <c r="Z83" s="5">
        <f>IF('Actual Game'!K83="","",'Actual Game'!K83)</f>
      </c>
      <c r="AA83" s="5">
        <f>IF('App Log'!K83="","",'App Log'!K83)</f>
      </c>
      <c r="AB83" s="5">
        <f>IF(AND('Actual Game'!K83="",'App Log'!K83=""),"",IF(TRIM('Actual Game'!K83&amp;"")=TRIM('App Log'!K83&amp;""),"MATCH","DIFF"))</f>
      </c>
      <c r="AC83" s="5">
        <f>IF(AND('Actual Game'!A83="",'App Log'!A83=""),"",IF(COUNTIF(D83:AB83,"DIFF")=0,"MATCH","CHECK"))</f>
      </c>
    </row>
    <row r="84" ht="19" customHeight="1">
      <c r="A84" s="5"/>
      <c r="B84" s="5">
        <f>IF('Actual Game'!B84="","",'Actual Game'!B84)</f>
      </c>
      <c r="C84" s="5">
        <f>IF('App Log'!B84="","",'App Log'!B84)</f>
      </c>
      <c r="D84" s="5">
        <f>IF(AND('Actual Game'!B84="",'App Log'!B84=""),"",IF(TRIM('Actual Game'!B84&amp;"")=TRIM('App Log'!B84&amp;""),"MATCH","DIFF"))</f>
      </c>
      <c r="E84" s="5">
        <f>IF('Actual Game'!C84="","",'Actual Game'!C84)</f>
      </c>
      <c r="F84" s="5">
        <f>IF('App Log'!C84="","",'App Log'!C84)</f>
      </c>
      <c r="G84" s="5">
        <f>IF(AND('Actual Game'!C84="",'App Log'!C84=""),"",IF(TRIM('Actual Game'!C84&amp;"")=TRIM('App Log'!C84&amp;""),"MATCH","DIFF"))</f>
      </c>
      <c r="H84" s="5">
        <f>IF('Actual Game'!D84="","",'Actual Game'!D84)</f>
      </c>
      <c r="I84" s="5">
        <f>IF('App Log'!D84="","",'App Log'!D84)</f>
      </c>
      <c r="J84" s="5">
        <f>IF(AND('Actual Game'!D84="",'App Log'!D84=""),"",IF(TRIM('Actual Game'!D84&amp;"")=TRIM('App Log'!D84&amp;""),"MATCH","DIFF"))</f>
      </c>
      <c r="K84" s="5">
        <f>IF('Actual Game'!E84="","",'Actual Game'!E84)</f>
      </c>
      <c r="L84" s="5">
        <f>IF('App Log'!E84="","",'App Log'!E84)</f>
      </c>
      <c r="M84" s="5">
        <f>IF(AND('Actual Game'!E84="",'App Log'!E84=""),"",IF(TRIM('Actual Game'!E84&amp;"")=TRIM('App Log'!E84&amp;""),"MATCH","DIFF"))</f>
      </c>
      <c r="N84" s="5">
        <f>IF('Actual Game'!F84="","",'Actual Game'!F84)</f>
      </c>
      <c r="O84" s="5">
        <f>IF('App Log'!F84="","",'App Log'!F84)</f>
      </c>
      <c r="P84" s="5">
        <f>IF(AND('Actual Game'!F84="",'App Log'!F84=""),"",IF(TRIM('Actual Game'!F84&amp;"")=TRIM('App Log'!F84&amp;""),"MATCH","DIFF"))</f>
      </c>
      <c r="Q84" s="5">
        <f>IF('Actual Game'!I84="","",'Actual Game'!I84)</f>
      </c>
      <c r="R84" s="5">
        <f>IF('App Log'!I84="","",'App Log'!I84)</f>
      </c>
      <c r="S84" s="5">
        <f>IF(AND('Actual Game'!I84="",'App Log'!I84=""),"",IF(TRIM('Actual Game'!I84&amp;"")=TRIM('App Log'!I84&amp;""),"MATCH","DIFF"))</f>
      </c>
      <c r="T84" s="5">
        <f>IF('Actual Game'!H84="","",'Actual Game'!H84)</f>
      </c>
      <c r="U84" s="5">
        <f>IF('App Log'!H84="","",'App Log'!H84)</f>
      </c>
      <c r="V84" s="5">
        <f>IF(AND('Actual Game'!H84="",'App Log'!H84=""),"",IF(TRIM('Actual Game'!H84&amp;"")=TRIM('App Log'!H84&amp;""),"MATCH","DIFF"))</f>
      </c>
      <c r="W84" s="5">
        <f>IF('Actual Game'!J84="","",'Actual Game'!J84)</f>
      </c>
      <c r="X84" s="5">
        <f>IF('App Log'!J84="","",'App Log'!J84)</f>
      </c>
      <c r="Y84" s="5">
        <f>IF(AND('Actual Game'!J84="",'App Log'!J84=""),"",IF(TRIM('Actual Game'!J84&amp;"")=TRIM('App Log'!J84&amp;""),"MATCH","DIFF"))</f>
      </c>
      <c r="Z84" s="5">
        <f>IF('Actual Game'!K84="","",'Actual Game'!K84)</f>
      </c>
      <c r="AA84" s="5">
        <f>IF('App Log'!K84="","",'App Log'!K84)</f>
      </c>
      <c r="AB84" s="5">
        <f>IF(AND('Actual Game'!K84="",'App Log'!K84=""),"",IF(TRIM('Actual Game'!K84&amp;"")=TRIM('App Log'!K84&amp;""),"MATCH","DIFF"))</f>
      </c>
      <c r="AC84" s="5">
        <f>IF(AND('Actual Game'!A84="",'App Log'!A84=""),"",IF(COUNTIF(D84:AB84,"DIFF")=0,"MATCH","CHECK"))</f>
      </c>
    </row>
    <row r="85" ht="19" customHeight="1">
      <c r="A85" s="5"/>
      <c r="B85" s="5">
        <f>IF('Actual Game'!B85="","",'Actual Game'!B85)</f>
      </c>
      <c r="C85" s="5">
        <f>IF('App Log'!B85="","",'App Log'!B85)</f>
      </c>
      <c r="D85" s="5">
        <f>IF(AND('Actual Game'!B85="",'App Log'!B85=""),"",IF(TRIM('Actual Game'!B85&amp;"")=TRIM('App Log'!B85&amp;""),"MATCH","DIFF"))</f>
      </c>
      <c r="E85" s="5">
        <f>IF('Actual Game'!C85="","",'Actual Game'!C85)</f>
      </c>
      <c r="F85" s="5">
        <f>IF('App Log'!C85="","",'App Log'!C85)</f>
      </c>
      <c r="G85" s="5">
        <f>IF(AND('Actual Game'!C85="",'App Log'!C85=""),"",IF(TRIM('Actual Game'!C85&amp;"")=TRIM('App Log'!C85&amp;""),"MATCH","DIFF"))</f>
      </c>
      <c r="H85" s="5">
        <f>IF('Actual Game'!D85="","",'Actual Game'!D85)</f>
      </c>
      <c r="I85" s="5">
        <f>IF('App Log'!D85="","",'App Log'!D85)</f>
      </c>
      <c r="J85" s="5">
        <f>IF(AND('Actual Game'!D85="",'App Log'!D85=""),"",IF(TRIM('Actual Game'!D85&amp;"")=TRIM('App Log'!D85&amp;""),"MATCH","DIFF"))</f>
      </c>
      <c r="K85" s="5">
        <f>IF('Actual Game'!E85="","",'Actual Game'!E85)</f>
      </c>
      <c r="L85" s="5">
        <f>IF('App Log'!E85="","",'App Log'!E85)</f>
      </c>
      <c r="M85" s="5">
        <f>IF(AND('Actual Game'!E85="",'App Log'!E85=""),"",IF(TRIM('Actual Game'!E85&amp;"")=TRIM('App Log'!E85&amp;""),"MATCH","DIFF"))</f>
      </c>
      <c r="N85" s="5">
        <f>IF('Actual Game'!F85="","",'Actual Game'!F85)</f>
      </c>
      <c r="O85" s="5">
        <f>IF('App Log'!F85="","",'App Log'!F85)</f>
      </c>
      <c r="P85" s="5">
        <f>IF(AND('Actual Game'!F85="",'App Log'!F85=""),"",IF(TRIM('Actual Game'!F85&amp;"")=TRIM('App Log'!F85&amp;""),"MATCH","DIFF"))</f>
      </c>
      <c r="Q85" s="5">
        <f>IF('Actual Game'!I85="","",'Actual Game'!I85)</f>
      </c>
      <c r="R85" s="5">
        <f>IF('App Log'!I85="","",'App Log'!I85)</f>
      </c>
      <c r="S85" s="5">
        <f>IF(AND('Actual Game'!I85="",'App Log'!I85=""),"",IF(TRIM('Actual Game'!I85&amp;"")=TRIM('App Log'!I85&amp;""),"MATCH","DIFF"))</f>
      </c>
      <c r="T85" s="5">
        <f>IF('Actual Game'!H85="","",'Actual Game'!H85)</f>
      </c>
      <c r="U85" s="5">
        <f>IF('App Log'!H85="","",'App Log'!H85)</f>
      </c>
      <c r="V85" s="5">
        <f>IF(AND('Actual Game'!H85="",'App Log'!H85=""),"",IF(TRIM('Actual Game'!H85&amp;"")=TRIM('App Log'!H85&amp;""),"MATCH","DIFF"))</f>
      </c>
      <c r="W85" s="5">
        <f>IF('Actual Game'!J85="","",'Actual Game'!J85)</f>
      </c>
      <c r="X85" s="5">
        <f>IF('App Log'!J85="","",'App Log'!J85)</f>
      </c>
      <c r="Y85" s="5">
        <f>IF(AND('Actual Game'!J85="",'App Log'!J85=""),"",IF(TRIM('Actual Game'!J85&amp;"")=TRIM('App Log'!J85&amp;""),"MATCH","DIFF"))</f>
      </c>
      <c r="Z85" s="5">
        <f>IF('Actual Game'!K85="","",'Actual Game'!K85)</f>
      </c>
      <c r="AA85" s="5">
        <f>IF('App Log'!K85="","",'App Log'!K85)</f>
      </c>
      <c r="AB85" s="5">
        <f>IF(AND('Actual Game'!K85="",'App Log'!K85=""),"",IF(TRIM('Actual Game'!K85&amp;"")=TRIM('App Log'!K85&amp;""),"MATCH","DIFF"))</f>
      </c>
      <c r="AC85" s="5">
        <f>IF(AND('Actual Game'!A85="",'App Log'!A85=""),"",IF(COUNTIF(D85:AB85,"DIFF")=0,"MATCH","CHECK"))</f>
      </c>
    </row>
    <row r="86" ht="19" customHeight="1">
      <c r="A86" s="5"/>
      <c r="B86" s="5">
        <f>IF('Actual Game'!B86="","",'Actual Game'!B86)</f>
      </c>
      <c r="C86" s="5">
        <f>IF('App Log'!B86="","",'App Log'!B86)</f>
      </c>
      <c r="D86" s="5">
        <f>IF(AND('Actual Game'!B86="",'App Log'!B86=""),"",IF(TRIM('Actual Game'!B86&amp;"")=TRIM('App Log'!B86&amp;""),"MATCH","DIFF"))</f>
      </c>
      <c r="E86" s="5">
        <f>IF('Actual Game'!C86="","",'Actual Game'!C86)</f>
      </c>
      <c r="F86" s="5">
        <f>IF('App Log'!C86="","",'App Log'!C86)</f>
      </c>
      <c r="G86" s="5">
        <f>IF(AND('Actual Game'!C86="",'App Log'!C86=""),"",IF(TRIM('Actual Game'!C86&amp;"")=TRIM('App Log'!C86&amp;""),"MATCH","DIFF"))</f>
      </c>
      <c r="H86" s="5">
        <f>IF('Actual Game'!D86="","",'Actual Game'!D86)</f>
      </c>
      <c r="I86" s="5">
        <f>IF('App Log'!D86="","",'App Log'!D86)</f>
      </c>
      <c r="J86" s="5">
        <f>IF(AND('Actual Game'!D86="",'App Log'!D86=""),"",IF(TRIM('Actual Game'!D86&amp;"")=TRIM('App Log'!D86&amp;""),"MATCH","DIFF"))</f>
      </c>
      <c r="K86" s="5">
        <f>IF('Actual Game'!E86="","",'Actual Game'!E86)</f>
      </c>
      <c r="L86" s="5">
        <f>IF('App Log'!E86="","",'App Log'!E86)</f>
      </c>
      <c r="M86" s="5">
        <f>IF(AND('Actual Game'!E86="",'App Log'!E86=""),"",IF(TRIM('Actual Game'!E86&amp;"")=TRIM('App Log'!E86&amp;""),"MATCH","DIFF"))</f>
      </c>
      <c r="N86" s="5">
        <f>IF('Actual Game'!F86="","",'Actual Game'!F86)</f>
      </c>
      <c r="O86" s="5">
        <f>IF('App Log'!F86="","",'App Log'!F86)</f>
      </c>
      <c r="P86" s="5">
        <f>IF(AND('Actual Game'!F86="",'App Log'!F86=""),"",IF(TRIM('Actual Game'!F86&amp;"")=TRIM('App Log'!F86&amp;""),"MATCH","DIFF"))</f>
      </c>
      <c r="Q86" s="5">
        <f>IF('Actual Game'!I86="","",'Actual Game'!I86)</f>
      </c>
      <c r="R86" s="5">
        <f>IF('App Log'!I86="","",'App Log'!I86)</f>
      </c>
      <c r="S86" s="5">
        <f>IF(AND('Actual Game'!I86="",'App Log'!I86=""),"",IF(TRIM('Actual Game'!I86&amp;"")=TRIM('App Log'!I86&amp;""),"MATCH","DIFF"))</f>
      </c>
      <c r="T86" s="5">
        <f>IF('Actual Game'!H86="","",'Actual Game'!H86)</f>
      </c>
      <c r="U86" s="5">
        <f>IF('App Log'!H86="","",'App Log'!H86)</f>
      </c>
      <c r="V86" s="5">
        <f>IF(AND('Actual Game'!H86="",'App Log'!H86=""),"",IF(TRIM('Actual Game'!H86&amp;"")=TRIM('App Log'!H86&amp;""),"MATCH","DIFF"))</f>
      </c>
      <c r="W86" s="5">
        <f>IF('Actual Game'!J86="","",'Actual Game'!J86)</f>
      </c>
      <c r="X86" s="5">
        <f>IF('App Log'!J86="","",'App Log'!J86)</f>
      </c>
      <c r="Y86" s="5">
        <f>IF(AND('Actual Game'!J86="",'App Log'!J86=""),"",IF(TRIM('Actual Game'!J86&amp;"")=TRIM('App Log'!J86&amp;""),"MATCH","DIFF"))</f>
      </c>
      <c r="Z86" s="5">
        <f>IF('Actual Game'!K86="","",'Actual Game'!K86)</f>
      </c>
      <c r="AA86" s="5">
        <f>IF('App Log'!K86="","",'App Log'!K86)</f>
      </c>
      <c r="AB86" s="5">
        <f>IF(AND('Actual Game'!K86="",'App Log'!K86=""),"",IF(TRIM('Actual Game'!K86&amp;"")=TRIM('App Log'!K86&amp;""),"MATCH","DIFF"))</f>
      </c>
      <c r="AC86" s="5">
        <f>IF(AND('Actual Game'!A86="",'App Log'!A86=""),"",IF(COUNTIF(D86:AB86,"DIFF")=0,"MATCH","CHECK"))</f>
      </c>
    </row>
    <row r="87" ht="19" customHeight="1">
      <c r="A87" s="5"/>
      <c r="B87" s="5">
        <f>IF('Actual Game'!B87="","",'Actual Game'!B87)</f>
      </c>
      <c r="C87" s="5">
        <f>IF('App Log'!B87="","",'App Log'!B87)</f>
      </c>
      <c r="D87" s="5">
        <f>IF(AND('Actual Game'!B87="",'App Log'!B87=""),"",IF(TRIM('Actual Game'!B87&amp;"")=TRIM('App Log'!B87&amp;""),"MATCH","DIFF"))</f>
      </c>
      <c r="E87" s="5">
        <f>IF('Actual Game'!C87="","",'Actual Game'!C87)</f>
      </c>
      <c r="F87" s="5">
        <f>IF('App Log'!C87="","",'App Log'!C87)</f>
      </c>
      <c r="G87" s="5">
        <f>IF(AND('Actual Game'!C87="",'App Log'!C87=""),"",IF(TRIM('Actual Game'!C87&amp;"")=TRIM('App Log'!C87&amp;""),"MATCH","DIFF"))</f>
      </c>
      <c r="H87" s="5">
        <f>IF('Actual Game'!D87="","",'Actual Game'!D87)</f>
      </c>
      <c r="I87" s="5">
        <f>IF('App Log'!D87="","",'App Log'!D87)</f>
      </c>
      <c r="J87" s="5">
        <f>IF(AND('Actual Game'!D87="",'App Log'!D87=""),"",IF(TRIM('Actual Game'!D87&amp;"")=TRIM('App Log'!D87&amp;""),"MATCH","DIFF"))</f>
      </c>
      <c r="K87" s="5">
        <f>IF('Actual Game'!E87="","",'Actual Game'!E87)</f>
      </c>
      <c r="L87" s="5">
        <f>IF('App Log'!E87="","",'App Log'!E87)</f>
      </c>
      <c r="M87" s="5">
        <f>IF(AND('Actual Game'!E87="",'App Log'!E87=""),"",IF(TRIM('Actual Game'!E87&amp;"")=TRIM('App Log'!E87&amp;""),"MATCH","DIFF"))</f>
      </c>
      <c r="N87" s="5">
        <f>IF('Actual Game'!F87="","",'Actual Game'!F87)</f>
      </c>
      <c r="O87" s="5">
        <f>IF('App Log'!F87="","",'App Log'!F87)</f>
      </c>
      <c r="P87" s="5">
        <f>IF(AND('Actual Game'!F87="",'App Log'!F87=""),"",IF(TRIM('Actual Game'!F87&amp;"")=TRIM('App Log'!F87&amp;""),"MATCH","DIFF"))</f>
      </c>
      <c r="Q87" s="5">
        <f>IF('Actual Game'!I87="","",'Actual Game'!I87)</f>
      </c>
      <c r="R87" s="5">
        <f>IF('App Log'!I87="","",'App Log'!I87)</f>
      </c>
      <c r="S87" s="5">
        <f>IF(AND('Actual Game'!I87="",'App Log'!I87=""),"",IF(TRIM('Actual Game'!I87&amp;"")=TRIM('App Log'!I87&amp;""),"MATCH","DIFF"))</f>
      </c>
      <c r="T87" s="5">
        <f>IF('Actual Game'!H87="","",'Actual Game'!H87)</f>
      </c>
      <c r="U87" s="5">
        <f>IF('App Log'!H87="","",'App Log'!H87)</f>
      </c>
      <c r="V87" s="5">
        <f>IF(AND('Actual Game'!H87="",'App Log'!H87=""),"",IF(TRIM('Actual Game'!H87&amp;"")=TRIM('App Log'!H87&amp;""),"MATCH","DIFF"))</f>
      </c>
      <c r="W87" s="5">
        <f>IF('Actual Game'!J87="","",'Actual Game'!J87)</f>
      </c>
      <c r="X87" s="5">
        <f>IF('App Log'!J87="","",'App Log'!J87)</f>
      </c>
      <c r="Y87" s="5">
        <f>IF(AND('Actual Game'!J87="",'App Log'!J87=""),"",IF(TRIM('Actual Game'!J87&amp;"")=TRIM('App Log'!J87&amp;""),"MATCH","DIFF"))</f>
      </c>
      <c r="Z87" s="5">
        <f>IF('Actual Game'!K87="","",'Actual Game'!K87)</f>
      </c>
      <c r="AA87" s="5">
        <f>IF('App Log'!K87="","",'App Log'!K87)</f>
      </c>
      <c r="AB87" s="5">
        <f>IF(AND('Actual Game'!K87="",'App Log'!K87=""),"",IF(TRIM('Actual Game'!K87&amp;"")=TRIM('App Log'!K87&amp;""),"MATCH","DIFF"))</f>
      </c>
      <c r="AC87" s="5">
        <f>IF(AND('Actual Game'!A87="",'App Log'!A87=""),"",IF(COUNTIF(D87:AB87,"DIFF")=0,"MATCH","CHECK"))</f>
      </c>
    </row>
    <row r="88" ht="19" customHeight="1">
      <c r="A88" s="5"/>
      <c r="B88" s="5">
        <f>IF('Actual Game'!B88="","",'Actual Game'!B88)</f>
      </c>
      <c r="C88" s="5">
        <f>IF('App Log'!B88="","",'App Log'!B88)</f>
      </c>
      <c r="D88" s="5">
        <f>IF(AND('Actual Game'!B88="",'App Log'!B88=""),"",IF(TRIM('Actual Game'!B88&amp;"")=TRIM('App Log'!B88&amp;""),"MATCH","DIFF"))</f>
      </c>
      <c r="E88" s="5">
        <f>IF('Actual Game'!C88="","",'Actual Game'!C88)</f>
      </c>
      <c r="F88" s="5">
        <f>IF('App Log'!C88="","",'App Log'!C88)</f>
      </c>
      <c r="G88" s="5">
        <f>IF(AND('Actual Game'!C88="",'App Log'!C88=""),"",IF(TRIM('Actual Game'!C88&amp;"")=TRIM('App Log'!C88&amp;""),"MATCH","DIFF"))</f>
      </c>
      <c r="H88" s="5">
        <f>IF('Actual Game'!D88="","",'Actual Game'!D88)</f>
      </c>
      <c r="I88" s="5">
        <f>IF('App Log'!D88="","",'App Log'!D88)</f>
      </c>
      <c r="J88" s="5">
        <f>IF(AND('Actual Game'!D88="",'App Log'!D88=""),"",IF(TRIM('Actual Game'!D88&amp;"")=TRIM('App Log'!D88&amp;""),"MATCH","DIFF"))</f>
      </c>
      <c r="K88" s="5">
        <f>IF('Actual Game'!E88="","",'Actual Game'!E88)</f>
      </c>
      <c r="L88" s="5">
        <f>IF('App Log'!E88="","",'App Log'!E88)</f>
      </c>
      <c r="M88" s="5">
        <f>IF(AND('Actual Game'!E88="",'App Log'!E88=""),"",IF(TRIM('Actual Game'!E88&amp;"")=TRIM('App Log'!E88&amp;""),"MATCH","DIFF"))</f>
      </c>
      <c r="N88" s="5">
        <f>IF('Actual Game'!F88="","",'Actual Game'!F88)</f>
      </c>
      <c r="O88" s="5">
        <f>IF('App Log'!F88="","",'App Log'!F88)</f>
      </c>
      <c r="P88" s="5">
        <f>IF(AND('Actual Game'!F88="",'App Log'!F88=""),"",IF(TRIM('Actual Game'!F88&amp;"")=TRIM('App Log'!F88&amp;""),"MATCH","DIFF"))</f>
      </c>
      <c r="Q88" s="5">
        <f>IF('Actual Game'!I88="","",'Actual Game'!I88)</f>
      </c>
      <c r="R88" s="5">
        <f>IF('App Log'!I88="","",'App Log'!I88)</f>
      </c>
      <c r="S88" s="5">
        <f>IF(AND('Actual Game'!I88="",'App Log'!I88=""),"",IF(TRIM('Actual Game'!I88&amp;"")=TRIM('App Log'!I88&amp;""),"MATCH","DIFF"))</f>
      </c>
      <c r="T88" s="5">
        <f>IF('Actual Game'!H88="","",'Actual Game'!H88)</f>
      </c>
      <c r="U88" s="5">
        <f>IF('App Log'!H88="","",'App Log'!H88)</f>
      </c>
      <c r="V88" s="5">
        <f>IF(AND('Actual Game'!H88="",'App Log'!H88=""),"",IF(TRIM('Actual Game'!H88&amp;"")=TRIM('App Log'!H88&amp;""),"MATCH","DIFF"))</f>
      </c>
      <c r="W88" s="5">
        <f>IF('Actual Game'!J88="","",'Actual Game'!J88)</f>
      </c>
      <c r="X88" s="5">
        <f>IF('App Log'!J88="","",'App Log'!J88)</f>
      </c>
      <c r="Y88" s="5">
        <f>IF(AND('Actual Game'!J88="",'App Log'!J88=""),"",IF(TRIM('Actual Game'!J88&amp;"")=TRIM('App Log'!J88&amp;""),"MATCH","DIFF"))</f>
      </c>
      <c r="Z88" s="5">
        <f>IF('Actual Game'!K88="","",'Actual Game'!K88)</f>
      </c>
      <c r="AA88" s="5">
        <f>IF('App Log'!K88="","",'App Log'!K88)</f>
      </c>
      <c r="AB88" s="5">
        <f>IF(AND('Actual Game'!K88="",'App Log'!K88=""),"",IF(TRIM('Actual Game'!K88&amp;"")=TRIM('App Log'!K88&amp;""),"MATCH","DIFF"))</f>
      </c>
      <c r="AC88" s="5">
        <f>IF(AND('Actual Game'!A88="",'App Log'!A88=""),"",IF(COUNTIF(D88:AB88,"DIFF")=0,"MATCH","CHECK"))</f>
      </c>
    </row>
    <row r="89" ht="19" customHeight="1">
      <c r="A89" s="5"/>
      <c r="B89" s="5">
        <f>IF('Actual Game'!B89="","",'Actual Game'!B89)</f>
      </c>
      <c r="C89" s="5">
        <f>IF('App Log'!B89="","",'App Log'!B89)</f>
      </c>
      <c r="D89" s="5">
        <f>IF(AND('Actual Game'!B89="",'App Log'!B89=""),"",IF(TRIM('Actual Game'!B89&amp;"")=TRIM('App Log'!B89&amp;""),"MATCH","DIFF"))</f>
      </c>
      <c r="E89" s="5">
        <f>IF('Actual Game'!C89="","",'Actual Game'!C89)</f>
      </c>
      <c r="F89" s="5">
        <f>IF('App Log'!C89="","",'App Log'!C89)</f>
      </c>
      <c r="G89" s="5">
        <f>IF(AND('Actual Game'!C89="",'App Log'!C89=""),"",IF(TRIM('Actual Game'!C89&amp;"")=TRIM('App Log'!C89&amp;""),"MATCH","DIFF"))</f>
      </c>
      <c r="H89" s="5">
        <f>IF('Actual Game'!D89="","",'Actual Game'!D89)</f>
      </c>
      <c r="I89" s="5">
        <f>IF('App Log'!D89="","",'App Log'!D89)</f>
      </c>
      <c r="J89" s="5">
        <f>IF(AND('Actual Game'!D89="",'App Log'!D89=""),"",IF(TRIM('Actual Game'!D89&amp;"")=TRIM('App Log'!D89&amp;""),"MATCH","DIFF"))</f>
      </c>
      <c r="K89" s="5">
        <f>IF('Actual Game'!E89="","",'Actual Game'!E89)</f>
      </c>
      <c r="L89" s="5">
        <f>IF('App Log'!E89="","",'App Log'!E89)</f>
      </c>
      <c r="M89" s="5">
        <f>IF(AND('Actual Game'!E89="",'App Log'!E89=""),"",IF(TRIM('Actual Game'!E89&amp;"")=TRIM('App Log'!E89&amp;""),"MATCH","DIFF"))</f>
      </c>
      <c r="N89" s="5">
        <f>IF('Actual Game'!F89="","",'Actual Game'!F89)</f>
      </c>
      <c r="O89" s="5">
        <f>IF('App Log'!F89="","",'App Log'!F89)</f>
      </c>
      <c r="P89" s="5">
        <f>IF(AND('Actual Game'!F89="",'App Log'!F89=""),"",IF(TRIM('Actual Game'!F89&amp;"")=TRIM('App Log'!F89&amp;""),"MATCH","DIFF"))</f>
      </c>
      <c r="Q89" s="5">
        <f>IF('Actual Game'!I89="","",'Actual Game'!I89)</f>
      </c>
      <c r="R89" s="5">
        <f>IF('App Log'!I89="","",'App Log'!I89)</f>
      </c>
      <c r="S89" s="5">
        <f>IF(AND('Actual Game'!I89="",'App Log'!I89=""),"",IF(TRIM('Actual Game'!I89&amp;"")=TRIM('App Log'!I89&amp;""),"MATCH","DIFF"))</f>
      </c>
      <c r="T89" s="5">
        <f>IF('Actual Game'!H89="","",'Actual Game'!H89)</f>
      </c>
      <c r="U89" s="5">
        <f>IF('App Log'!H89="","",'App Log'!H89)</f>
      </c>
      <c r="V89" s="5">
        <f>IF(AND('Actual Game'!H89="",'App Log'!H89=""),"",IF(TRIM('Actual Game'!H89&amp;"")=TRIM('App Log'!H89&amp;""),"MATCH","DIFF"))</f>
      </c>
      <c r="W89" s="5">
        <f>IF('Actual Game'!J89="","",'Actual Game'!J89)</f>
      </c>
      <c r="X89" s="5">
        <f>IF('App Log'!J89="","",'App Log'!J89)</f>
      </c>
      <c r="Y89" s="5">
        <f>IF(AND('Actual Game'!J89="",'App Log'!J89=""),"",IF(TRIM('Actual Game'!J89&amp;"")=TRIM('App Log'!J89&amp;""),"MATCH","DIFF"))</f>
      </c>
      <c r="Z89" s="5">
        <f>IF('Actual Game'!K89="","",'Actual Game'!K89)</f>
      </c>
      <c r="AA89" s="5">
        <f>IF('App Log'!K89="","",'App Log'!K89)</f>
      </c>
      <c r="AB89" s="5">
        <f>IF(AND('Actual Game'!K89="",'App Log'!K89=""),"",IF(TRIM('Actual Game'!K89&amp;"")=TRIM('App Log'!K89&amp;""),"MATCH","DIFF"))</f>
      </c>
      <c r="AC89" s="5">
        <f>IF(AND('Actual Game'!A89="",'App Log'!A89=""),"",IF(COUNTIF(D89:AB89,"DIFF")=0,"MATCH","CHECK"))</f>
      </c>
    </row>
    <row r="90" ht="19" customHeight="1">
      <c r="A90" s="5"/>
      <c r="B90" s="5">
        <f>IF('Actual Game'!B90="","",'Actual Game'!B90)</f>
      </c>
      <c r="C90" s="5">
        <f>IF('App Log'!B90="","",'App Log'!B90)</f>
      </c>
      <c r="D90" s="5">
        <f>IF(AND('Actual Game'!B90="",'App Log'!B90=""),"",IF(TRIM('Actual Game'!B90&amp;"")=TRIM('App Log'!B90&amp;""),"MATCH","DIFF"))</f>
      </c>
      <c r="E90" s="5">
        <f>IF('Actual Game'!C90="","",'Actual Game'!C90)</f>
      </c>
      <c r="F90" s="5">
        <f>IF('App Log'!C90="","",'App Log'!C90)</f>
      </c>
      <c r="G90" s="5">
        <f>IF(AND('Actual Game'!C90="",'App Log'!C90=""),"",IF(TRIM('Actual Game'!C90&amp;"")=TRIM('App Log'!C90&amp;""),"MATCH","DIFF"))</f>
      </c>
      <c r="H90" s="5">
        <f>IF('Actual Game'!D90="","",'Actual Game'!D90)</f>
      </c>
      <c r="I90" s="5">
        <f>IF('App Log'!D90="","",'App Log'!D90)</f>
      </c>
      <c r="J90" s="5">
        <f>IF(AND('Actual Game'!D90="",'App Log'!D90=""),"",IF(TRIM('Actual Game'!D90&amp;"")=TRIM('App Log'!D90&amp;""),"MATCH","DIFF"))</f>
      </c>
      <c r="K90" s="5">
        <f>IF('Actual Game'!E90="","",'Actual Game'!E90)</f>
      </c>
      <c r="L90" s="5">
        <f>IF('App Log'!E90="","",'App Log'!E90)</f>
      </c>
      <c r="M90" s="5">
        <f>IF(AND('Actual Game'!E90="",'App Log'!E90=""),"",IF(TRIM('Actual Game'!E90&amp;"")=TRIM('App Log'!E90&amp;""),"MATCH","DIFF"))</f>
      </c>
      <c r="N90" s="5">
        <f>IF('Actual Game'!F90="","",'Actual Game'!F90)</f>
      </c>
      <c r="O90" s="5">
        <f>IF('App Log'!F90="","",'App Log'!F90)</f>
      </c>
      <c r="P90" s="5">
        <f>IF(AND('Actual Game'!F90="",'App Log'!F90=""),"",IF(TRIM('Actual Game'!F90&amp;"")=TRIM('App Log'!F90&amp;""),"MATCH","DIFF"))</f>
      </c>
      <c r="Q90" s="5">
        <f>IF('Actual Game'!I90="","",'Actual Game'!I90)</f>
      </c>
      <c r="R90" s="5">
        <f>IF('App Log'!I90="","",'App Log'!I90)</f>
      </c>
      <c r="S90" s="5">
        <f>IF(AND('Actual Game'!I90="",'App Log'!I90=""),"",IF(TRIM('Actual Game'!I90&amp;"")=TRIM('App Log'!I90&amp;""),"MATCH","DIFF"))</f>
      </c>
      <c r="T90" s="5">
        <f>IF('Actual Game'!H90="","",'Actual Game'!H90)</f>
      </c>
      <c r="U90" s="5">
        <f>IF('App Log'!H90="","",'App Log'!H90)</f>
      </c>
      <c r="V90" s="5">
        <f>IF(AND('Actual Game'!H90="",'App Log'!H90=""),"",IF(TRIM('Actual Game'!H90&amp;"")=TRIM('App Log'!H90&amp;""),"MATCH","DIFF"))</f>
      </c>
      <c r="W90" s="5">
        <f>IF('Actual Game'!J90="","",'Actual Game'!J90)</f>
      </c>
      <c r="X90" s="5">
        <f>IF('App Log'!J90="","",'App Log'!J90)</f>
      </c>
      <c r="Y90" s="5">
        <f>IF(AND('Actual Game'!J90="",'App Log'!J90=""),"",IF(TRIM('Actual Game'!J90&amp;"")=TRIM('App Log'!J90&amp;""),"MATCH","DIFF"))</f>
      </c>
      <c r="Z90" s="5">
        <f>IF('Actual Game'!K90="","",'Actual Game'!K90)</f>
      </c>
      <c r="AA90" s="5">
        <f>IF('App Log'!K90="","",'App Log'!K90)</f>
      </c>
      <c r="AB90" s="5">
        <f>IF(AND('Actual Game'!K90="",'App Log'!K90=""),"",IF(TRIM('Actual Game'!K90&amp;"")=TRIM('App Log'!K90&amp;""),"MATCH","DIFF"))</f>
      </c>
      <c r="AC90" s="5">
        <f>IF(AND('Actual Game'!A90="",'App Log'!A90=""),"",IF(COUNTIF(D90:AB90,"DIFF")=0,"MATCH","CHECK"))</f>
      </c>
    </row>
    <row r="91" ht="19" customHeight="1">
      <c r="A91" s="5"/>
      <c r="B91" s="5">
        <f>IF('Actual Game'!B91="","",'Actual Game'!B91)</f>
      </c>
      <c r="C91" s="5">
        <f>IF('App Log'!B91="","",'App Log'!B91)</f>
      </c>
      <c r="D91" s="5">
        <f>IF(AND('Actual Game'!B91="",'App Log'!B91=""),"",IF(TRIM('Actual Game'!B91&amp;"")=TRIM('App Log'!B91&amp;""),"MATCH","DIFF"))</f>
      </c>
      <c r="E91" s="5">
        <f>IF('Actual Game'!C91="","",'Actual Game'!C91)</f>
      </c>
      <c r="F91" s="5">
        <f>IF('App Log'!C91="","",'App Log'!C91)</f>
      </c>
      <c r="G91" s="5">
        <f>IF(AND('Actual Game'!C91="",'App Log'!C91=""),"",IF(TRIM('Actual Game'!C91&amp;"")=TRIM('App Log'!C91&amp;""),"MATCH","DIFF"))</f>
      </c>
      <c r="H91" s="5">
        <f>IF('Actual Game'!D91="","",'Actual Game'!D91)</f>
      </c>
      <c r="I91" s="5">
        <f>IF('App Log'!D91="","",'App Log'!D91)</f>
      </c>
      <c r="J91" s="5">
        <f>IF(AND('Actual Game'!D91="",'App Log'!D91=""),"",IF(TRIM('Actual Game'!D91&amp;"")=TRIM('App Log'!D91&amp;""),"MATCH","DIFF"))</f>
      </c>
      <c r="K91" s="5">
        <f>IF('Actual Game'!E91="","",'Actual Game'!E91)</f>
      </c>
      <c r="L91" s="5">
        <f>IF('App Log'!E91="","",'App Log'!E91)</f>
      </c>
      <c r="M91" s="5">
        <f>IF(AND('Actual Game'!E91="",'App Log'!E91=""),"",IF(TRIM('Actual Game'!E91&amp;"")=TRIM('App Log'!E91&amp;""),"MATCH","DIFF"))</f>
      </c>
      <c r="N91" s="5">
        <f>IF('Actual Game'!F91="","",'Actual Game'!F91)</f>
      </c>
      <c r="O91" s="5">
        <f>IF('App Log'!F91="","",'App Log'!F91)</f>
      </c>
      <c r="P91" s="5">
        <f>IF(AND('Actual Game'!F91="",'App Log'!F91=""),"",IF(TRIM('Actual Game'!F91&amp;"")=TRIM('App Log'!F91&amp;""),"MATCH","DIFF"))</f>
      </c>
      <c r="Q91" s="5">
        <f>IF('Actual Game'!I91="","",'Actual Game'!I91)</f>
      </c>
      <c r="R91" s="5">
        <f>IF('App Log'!I91="","",'App Log'!I91)</f>
      </c>
      <c r="S91" s="5">
        <f>IF(AND('Actual Game'!I91="",'App Log'!I91=""),"",IF(TRIM('Actual Game'!I91&amp;"")=TRIM('App Log'!I91&amp;""),"MATCH","DIFF"))</f>
      </c>
      <c r="T91" s="5">
        <f>IF('Actual Game'!H91="","",'Actual Game'!H91)</f>
      </c>
      <c r="U91" s="5">
        <f>IF('App Log'!H91="","",'App Log'!H91)</f>
      </c>
      <c r="V91" s="5">
        <f>IF(AND('Actual Game'!H91="",'App Log'!H91=""),"",IF(TRIM('Actual Game'!H91&amp;"")=TRIM('App Log'!H91&amp;""),"MATCH","DIFF"))</f>
      </c>
      <c r="W91" s="5">
        <f>IF('Actual Game'!J91="","",'Actual Game'!J91)</f>
      </c>
      <c r="X91" s="5">
        <f>IF('App Log'!J91="","",'App Log'!J91)</f>
      </c>
      <c r="Y91" s="5">
        <f>IF(AND('Actual Game'!J91="",'App Log'!J91=""),"",IF(TRIM('Actual Game'!J91&amp;"")=TRIM('App Log'!J91&amp;""),"MATCH","DIFF"))</f>
      </c>
      <c r="Z91" s="5">
        <f>IF('Actual Game'!K91="","",'Actual Game'!K91)</f>
      </c>
      <c r="AA91" s="5">
        <f>IF('App Log'!K91="","",'App Log'!K91)</f>
      </c>
      <c r="AB91" s="5">
        <f>IF(AND('Actual Game'!K91="",'App Log'!K91=""),"",IF(TRIM('Actual Game'!K91&amp;"")=TRIM('App Log'!K91&amp;""),"MATCH","DIFF"))</f>
      </c>
      <c r="AC91" s="5">
        <f>IF(AND('Actual Game'!A91="",'App Log'!A91=""),"",IF(COUNTIF(D91:AB91,"DIFF")=0,"MATCH","CHECK"))</f>
      </c>
    </row>
    <row r="92" ht="19" customHeight="1">
      <c r="A92" s="5"/>
      <c r="B92" s="5">
        <f>IF('Actual Game'!B92="","",'Actual Game'!B92)</f>
      </c>
      <c r="C92" s="5">
        <f>IF('App Log'!B92="","",'App Log'!B92)</f>
      </c>
      <c r="D92" s="5">
        <f>IF(AND('Actual Game'!B92="",'App Log'!B92=""),"",IF(TRIM('Actual Game'!B92&amp;"")=TRIM('App Log'!B92&amp;""),"MATCH","DIFF"))</f>
      </c>
      <c r="E92" s="5">
        <f>IF('Actual Game'!C92="","",'Actual Game'!C92)</f>
      </c>
      <c r="F92" s="5">
        <f>IF('App Log'!C92="","",'App Log'!C92)</f>
      </c>
      <c r="G92" s="5">
        <f>IF(AND('Actual Game'!C92="",'App Log'!C92=""),"",IF(TRIM('Actual Game'!C92&amp;"")=TRIM('App Log'!C92&amp;""),"MATCH","DIFF"))</f>
      </c>
      <c r="H92" s="5">
        <f>IF('Actual Game'!D92="","",'Actual Game'!D92)</f>
      </c>
      <c r="I92" s="5">
        <f>IF('App Log'!D92="","",'App Log'!D92)</f>
      </c>
      <c r="J92" s="5">
        <f>IF(AND('Actual Game'!D92="",'App Log'!D92=""),"",IF(TRIM('Actual Game'!D92&amp;"")=TRIM('App Log'!D92&amp;""),"MATCH","DIFF"))</f>
      </c>
      <c r="K92" s="5">
        <f>IF('Actual Game'!E92="","",'Actual Game'!E92)</f>
      </c>
      <c r="L92" s="5">
        <f>IF('App Log'!E92="","",'App Log'!E92)</f>
      </c>
      <c r="M92" s="5">
        <f>IF(AND('Actual Game'!E92="",'App Log'!E92=""),"",IF(TRIM('Actual Game'!E92&amp;"")=TRIM('App Log'!E92&amp;""),"MATCH","DIFF"))</f>
      </c>
      <c r="N92" s="5">
        <f>IF('Actual Game'!F92="","",'Actual Game'!F92)</f>
      </c>
      <c r="O92" s="5">
        <f>IF('App Log'!F92="","",'App Log'!F92)</f>
      </c>
      <c r="P92" s="5">
        <f>IF(AND('Actual Game'!F92="",'App Log'!F92=""),"",IF(TRIM('Actual Game'!F92&amp;"")=TRIM('App Log'!F92&amp;""),"MATCH","DIFF"))</f>
      </c>
      <c r="Q92" s="5">
        <f>IF('Actual Game'!I92="","",'Actual Game'!I92)</f>
      </c>
      <c r="R92" s="5">
        <f>IF('App Log'!I92="","",'App Log'!I92)</f>
      </c>
      <c r="S92" s="5">
        <f>IF(AND('Actual Game'!I92="",'App Log'!I92=""),"",IF(TRIM('Actual Game'!I92&amp;"")=TRIM('App Log'!I92&amp;""),"MATCH","DIFF"))</f>
      </c>
      <c r="T92" s="5">
        <f>IF('Actual Game'!H92="","",'Actual Game'!H92)</f>
      </c>
      <c r="U92" s="5">
        <f>IF('App Log'!H92="","",'App Log'!H92)</f>
      </c>
      <c r="V92" s="5">
        <f>IF(AND('Actual Game'!H92="",'App Log'!H92=""),"",IF(TRIM('Actual Game'!H92&amp;"")=TRIM('App Log'!H92&amp;""),"MATCH","DIFF"))</f>
      </c>
      <c r="W92" s="5">
        <f>IF('Actual Game'!J92="","",'Actual Game'!J92)</f>
      </c>
      <c r="X92" s="5">
        <f>IF('App Log'!J92="","",'App Log'!J92)</f>
      </c>
      <c r="Y92" s="5">
        <f>IF(AND('Actual Game'!J92="",'App Log'!J92=""),"",IF(TRIM('Actual Game'!J92&amp;"")=TRIM('App Log'!J92&amp;""),"MATCH","DIFF"))</f>
      </c>
      <c r="Z92" s="5">
        <f>IF('Actual Game'!K92="","",'Actual Game'!K92)</f>
      </c>
      <c r="AA92" s="5">
        <f>IF('App Log'!K92="","",'App Log'!K92)</f>
      </c>
      <c r="AB92" s="5">
        <f>IF(AND('Actual Game'!K92="",'App Log'!K92=""),"",IF(TRIM('Actual Game'!K92&amp;"")=TRIM('App Log'!K92&amp;""),"MATCH","DIFF"))</f>
      </c>
      <c r="AC92" s="5">
        <f>IF(AND('Actual Game'!A92="",'App Log'!A92=""),"",IF(COUNTIF(D92:AB92,"DIFF")=0,"MATCH","CHECK"))</f>
      </c>
    </row>
    <row r="93" ht="19" customHeight="1">
      <c r="A93" s="5"/>
      <c r="B93" s="5">
        <f>IF('Actual Game'!B93="","",'Actual Game'!B93)</f>
      </c>
      <c r="C93" s="5">
        <f>IF('App Log'!B93="","",'App Log'!B93)</f>
      </c>
      <c r="D93" s="5">
        <f>IF(AND('Actual Game'!B93="",'App Log'!B93=""),"",IF(TRIM('Actual Game'!B93&amp;"")=TRIM('App Log'!B93&amp;""),"MATCH","DIFF"))</f>
      </c>
      <c r="E93" s="5">
        <f>IF('Actual Game'!C93="","",'Actual Game'!C93)</f>
      </c>
      <c r="F93" s="5">
        <f>IF('App Log'!C93="","",'App Log'!C93)</f>
      </c>
      <c r="G93" s="5">
        <f>IF(AND('Actual Game'!C93="",'App Log'!C93=""),"",IF(TRIM('Actual Game'!C93&amp;"")=TRIM('App Log'!C93&amp;""),"MATCH","DIFF"))</f>
      </c>
      <c r="H93" s="5">
        <f>IF('Actual Game'!D93="","",'Actual Game'!D93)</f>
      </c>
      <c r="I93" s="5">
        <f>IF('App Log'!D93="","",'App Log'!D93)</f>
      </c>
      <c r="J93" s="5">
        <f>IF(AND('Actual Game'!D93="",'App Log'!D93=""),"",IF(TRIM('Actual Game'!D93&amp;"")=TRIM('App Log'!D93&amp;""),"MATCH","DIFF"))</f>
      </c>
      <c r="K93" s="5">
        <f>IF('Actual Game'!E93="","",'Actual Game'!E93)</f>
      </c>
      <c r="L93" s="5">
        <f>IF('App Log'!E93="","",'App Log'!E93)</f>
      </c>
      <c r="M93" s="5">
        <f>IF(AND('Actual Game'!E93="",'App Log'!E93=""),"",IF(TRIM('Actual Game'!E93&amp;"")=TRIM('App Log'!E93&amp;""),"MATCH","DIFF"))</f>
      </c>
      <c r="N93" s="5">
        <f>IF('Actual Game'!F93="","",'Actual Game'!F93)</f>
      </c>
      <c r="O93" s="5">
        <f>IF('App Log'!F93="","",'App Log'!F93)</f>
      </c>
      <c r="P93" s="5">
        <f>IF(AND('Actual Game'!F93="",'App Log'!F93=""),"",IF(TRIM('Actual Game'!F93&amp;"")=TRIM('App Log'!F93&amp;""),"MATCH","DIFF"))</f>
      </c>
      <c r="Q93" s="5">
        <f>IF('Actual Game'!I93="","",'Actual Game'!I93)</f>
      </c>
      <c r="R93" s="5">
        <f>IF('App Log'!I93="","",'App Log'!I93)</f>
      </c>
      <c r="S93" s="5">
        <f>IF(AND('Actual Game'!I93="",'App Log'!I93=""),"",IF(TRIM('Actual Game'!I93&amp;"")=TRIM('App Log'!I93&amp;""),"MATCH","DIFF"))</f>
      </c>
      <c r="T93" s="5">
        <f>IF('Actual Game'!H93="","",'Actual Game'!H93)</f>
      </c>
      <c r="U93" s="5">
        <f>IF('App Log'!H93="","",'App Log'!H93)</f>
      </c>
      <c r="V93" s="5">
        <f>IF(AND('Actual Game'!H93="",'App Log'!H93=""),"",IF(TRIM('Actual Game'!H93&amp;"")=TRIM('App Log'!H93&amp;""),"MATCH","DIFF"))</f>
      </c>
      <c r="W93" s="5">
        <f>IF('Actual Game'!J93="","",'Actual Game'!J93)</f>
      </c>
      <c r="X93" s="5">
        <f>IF('App Log'!J93="","",'App Log'!J93)</f>
      </c>
      <c r="Y93" s="5">
        <f>IF(AND('Actual Game'!J93="",'App Log'!J93=""),"",IF(TRIM('Actual Game'!J93&amp;"")=TRIM('App Log'!J93&amp;""),"MATCH","DIFF"))</f>
      </c>
      <c r="Z93" s="5">
        <f>IF('Actual Game'!K93="","",'Actual Game'!K93)</f>
      </c>
      <c r="AA93" s="5">
        <f>IF('App Log'!K93="","",'App Log'!K93)</f>
      </c>
      <c r="AB93" s="5">
        <f>IF(AND('Actual Game'!K93="",'App Log'!K93=""),"",IF(TRIM('Actual Game'!K93&amp;"")=TRIM('App Log'!K93&amp;""),"MATCH","DIFF"))</f>
      </c>
      <c r="AC93" s="5">
        <f>IF(AND('Actual Game'!A93="",'App Log'!A93=""),"",IF(COUNTIF(D93:AB93,"DIFF")=0,"MATCH","CHECK"))</f>
      </c>
    </row>
    <row r="94" ht="19" customHeight="1">
      <c r="A94" s="5"/>
      <c r="B94" s="5">
        <f>IF('Actual Game'!B94="","",'Actual Game'!B94)</f>
      </c>
      <c r="C94" s="5">
        <f>IF('App Log'!B94="","",'App Log'!B94)</f>
      </c>
      <c r="D94" s="5">
        <f>IF(AND('Actual Game'!B94="",'App Log'!B94=""),"",IF(TRIM('Actual Game'!B94&amp;"")=TRIM('App Log'!B94&amp;""),"MATCH","DIFF"))</f>
      </c>
      <c r="E94" s="5">
        <f>IF('Actual Game'!C94="","",'Actual Game'!C94)</f>
      </c>
      <c r="F94" s="5">
        <f>IF('App Log'!C94="","",'App Log'!C94)</f>
      </c>
      <c r="G94" s="5">
        <f>IF(AND('Actual Game'!C94="",'App Log'!C94=""),"",IF(TRIM('Actual Game'!C94&amp;"")=TRIM('App Log'!C94&amp;""),"MATCH","DIFF"))</f>
      </c>
      <c r="H94" s="5">
        <f>IF('Actual Game'!D94="","",'Actual Game'!D94)</f>
      </c>
      <c r="I94" s="5">
        <f>IF('App Log'!D94="","",'App Log'!D94)</f>
      </c>
      <c r="J94" s="5">
        <f>IF(AND('Actual Game'!D94="",'App Log'!D94=""),"",IF(TRIM('Actual Game'!D94&amp;"")=TRIM('App Log'!D94&amp;""),"MATCH","DIFF"))</f>
      </c>
      <c r="K94" s="5">
        <f>IF('Actual Game'!E94="","",'Actual Game'!E94)</f>
      </c>
      <c r="L94" s="5">
        <f>IF('App Log'!E94="","",'App Log'!E94)</f>
      </c>
      <c r="M94" s="5">
        <f>IF(AND('Actual Game'!E94="",'App Log'!E94=""),"",IF(TRIM('Actual Game'!E94&amp;"")=TRIM('App Log'!E94&amp;""),"MATCH","DIFF"))</f>
      </c>
      <c r="N94" s="5">
        <f>IF('Actual Game'!F94="","",'Actual Game'!F94)</f>
      </c>
      <c r="O94" s="5">
        <f>IF('App Log'!F94="","",'App Log'!F94)</f>
      </c>
      <c r="P94" s="5">
        <f>IF(AND('Actual Game'!F94="",'App Log'!F94=""),"",IF(TRIM('Actual Game'!F94&amp;"")=TRIM('App Log'!F94&amp;""),"MATCH","DIFF"))</f>
      </c>
      <c r="Q94" s="5">
        <f>IF('Actual Game'!I94="","",'Actual Game'!I94)</f>
      </c>
      <c r="R94" s="5">
        <f>IF('App Log'!I94="","",'App Log'!I94)</f>
      </c>
      <c r="S94" s="5">
        <f>IF(AND('Actual Game'!I94="",'App Log'!I94=""),"",IF(TRIM('Actual Game'!I94&amp;"")=TRIM('App Log'!I94&amp;""),"MATCH","DIFF"))</f>
      </c>
      <c r="T94" s="5">
        <f>IF('Actual Game'!H94="","",'Actual Game'!H94)</f>
      </c>
      <c r="U94" s="5">
        <f>IF('App Log'!H94="","",'App Log'!H94)</f>
      </c>
      <c r="V94" s="5">
        <f>IF(AND('Actual Game'!H94="",'App Log'!H94=""),"",IF(TRIM('Actual Game'!H94&amp;"")=TRIM('App Log'!H94&amp;""),"MATCH","DIFF"))</f>
      </c>
      <c r="W94" s="5">
        <f>IF('Actual Game'!J94="","",'Actual Game'!J94)</f>
      </c>
      <c r="X94" s="5">
        <f>IF('App Log'!J94="","",'App Log'!J94)</f>
      </c>
      <c r="Y94" s="5">
        <f>IF(AND('Actual Game'!J94="",'App Log'!J94=""),"",IF(TRIM('Actual Game'!J94&amp;"")=TRIM('App Log'!J94&amp;""),"MATCH","DIFF"))</f>
      </c>
      <c r="Z94" s="5">
        <f>IF('Actual Game'!K94="","",'Actual Game'!K94)</f>
      </c>
      <c r="AA94" s="5">
        <f>IF('App Log'!K94="","",'App Log'!K94)</f>
      </c>
      <c r="AB94" s="5">
        <f>IF(AND('Actual Game'!K94="",'App Log'!K94=""),"",IF(TRIM('Actual Game'!K94&amp;"")=TRIM('App Log'!K94&amp;""),"MATCH","DIFF"))</f>
      </c>
      <c r="AC94" s="5">
        <f>IF(AND('Actual Game'!A94="",'App Log'!A94=""),"",IF(COUNTIF(D94:AB94,"DIFF")=0,"MATCH","CHECK"))</f>
      </c>
    </row>
    <row r="95" ht="19" customHeight="1">
      <c r="A95" s="5"/>
      <c r="B95" s="5">
        <f>IF('Actual Game'!B95="","",'Actual Game'!B95)</f>
      </c>
      <c r="C95" s="5">
        <f>IF('App Log'!B95="","",'App Log'!B95)</f>
      </c>
      <c r="D95" s="5">
        <f>IF(AND('Actual Game'!B95="",'App Log'!B95=""),"",IF(TRIM('Actual Game'!B95&amp;"")=TRIM('App Log'!B95&amp;""),"MATCH","DIFF"))</f>
      </c>
      <c r="E95" s="5">
        <f>IF('Actual Game'!C95="","",'Actual Game'!C95)</f>
      </c>
      <c r="F95" s="5">
        <f>IF('App Log'!C95="","",'App Log'!C95)</f>
      </c>
      <c r="G95" s="5">
        <f>IF(AND('Actual Game'!C95="",'App Log'!C95=""),"",IF(TRIM('Actual Game'!C95&amp;"")=TRIM('App Log'!C95&amp;""),"MATCH","DIFF"))</f>
      </c>
      <c r="H95" s="5">
        <f>IF('Actual Game'!D95="","",'Actual Game'!D95)</f>
      </c>
      <c r="I95" s="5">
        <f>IF('App Log'!D95="","",'App Log'!D95)</f>
      </c>
      <c r="J95" s="5">
        <f>IF(AND('Actual Game'!D95="",'App Log'!D95=""),"",IF(TRIM('Actual Game'!D95&amp;"")=TRIM('App Log'!D95&amp;""),"MATCH","DIFF"))</f>
      </c>
      <c r="K95" s="5">
        <f>IF('Actual Game'!E95="","",'Actual Game'!E95)</f>
      </c>
      <c r="L95" s="5">
        <f>IF('App Log'!E95="","",'App Log'!E95)</f>
      </c>
      <c r="M95" s="5">
        <f>IF(AND('Actual Game'!E95="",'App Log'!E95=""),"",IF(TRIM('Actual Game'!E95&amp;"")=TRIM('App Log'!E95&amp;""),"MATCH","DIFF"))</f>
      </c>
      <c r="N95" s="5">
        <f>IF('Actual Game'!F95="","",'Actual Game'!F95)</f>
      </c>
      <c r="O95" s="5">
        <f>IF('App Log'!F95="","",'App Log'!F95)</f>
      </c>
      <c r="P95" s="5">
        <f>IF(AND('Actual Game'!F95="",'App Log'!F95=""),"",IF(TRIM('Actual Game'!F95&amp;"")=TRIM('App Log'!F95&amp;""),"MATCH","DIFF"))</f>
      </c>
      <c r="Q95" s="5">
        <f>IF('Actual Game'!I95="","",'Actual Game'!I95)</f>
      </c>
      <c r="R95" s="5">
        <f>IF('App Log'!I95="","",'App Log'!I95)</f>
      </c>
      <c r="S95" s="5">
        <f>IF(AND('Actual Game'!I95="",'App Log'!I95=""),"",IF(TRIM('Actual Game'!I95&amp;"")=TRIM('App Log'!I95&amp;""),"MATCH","DIFF"))</f>
      </c>
      <c r="T95" s="5">
        <f>IF('Actual Game'!H95="","",'Actual Game'!H95)</f>
      </c>
      <c r="U95" s="5">
        <f>IF('App Log'!H95="","",'App Log'!H95)</f>
      </c>
      <c r="V95" s="5">
        <f>IF(AND('Actual Game'!H95="",'App Log'!H95=""),"",IF(TRIM('Actual Game'!H95&amp;"")=TRIM('App Log'!H95&amp;""),"MATCH","DIFF"))</f>
      </c>
      <c r="W95" s="5">
        <f>IF('Actual Game'!J95="","",'Actual Game'!J95)</f>
      </c>
      <c r="X95" s="5">
        <f>IF('App Log'!J95="","",'App Log'!J95)</f>
      </c>
      <c r="Y95" s="5">
        <f>IF(AND('Actual Game'!J95="",'App Log'!J95=""),"",IF(TRIM('Actual Game'!J95&amp;"")=TRIM('App Log'!J95&amp;""),"MATCH","DIFF"))</f>
      </c>
      <c r="Z95" s="5">
        <f>IF('Actual Game'!K95="","",'Actual Game'!K95)</f>
      </c>
      <c r="AA95" s="5">
        <f>IF('App Log'!K95="","",'App Log'!K95)</f>
      </c>
      <c r="AB95" s="5">
        <f>IF(AND('Actual Game'!K95="",'App Log'!K95=""),"",IF(TRIM('Actual Game'!K95&amp;"")=TRIM('App Log'!K95&amp;""),"MATCH","DIFF"))</f>
      </c>
      <c r="AC95" s="5">
        <f>IF(AND('Actual Game'!A95="",'App Log'!A95=""),"",IF(COUNTIF(D95:AB95,"DIFF")=0,"MATCH","CHECK"))</f>
      </c>
    </row>
    <row r="96" ht="19" customHeight="1">
      <c r="A96" s="5"/>
      <c r="B96" s="5">
        <f>IF('Actual Game'!B96="","",'Actual Game'!B96)</f>
      </c>
      <c r="C96" s="5">
        <f>IF('App Log'!B96="","",'App Log'!B96)</f>
      </c>
      <c r="D96" s="5">
        <f>IF(AND('Actual Game'!B96="",'App Log'!B96=""),"",IF(TRIM('Actual Game'!B96&amp;"")=TRIM('App Log'!B96&amp;""),"MATCH","DIFF"))</f>
      </c>
      <c r="E96" s="5">
        <f>IF('Actual Game'!C96="","",'Actual Game'!C96)</f>
      </c>
      <c r="F96" s="5">
        <f>IF('App Log'!C96="","",'App Log'!C96)</f>
      </c>
      <c r="G96" s="5">
        <f>IF(AND('Actual Game'!C96="",'App Log'!C96=""),"",IF(TRIM('Actual Game'!C96&amp;"")=TRIM('App Log'!C96&amp;""),"MATCH","DIFF"))</f>
      </c>
      <c r="H96" s="5">
        <f>IF('Actual Game'!D96="","",'Actual Game'!D96)</f>
      </c>
      <c r="I96" s="5">
        <f>IF('App Log'!D96="","",'App Log'!D96)</f>
      </c>
      <c r="J96" s="5">
        <f>IF(AND('Actual Game'!D96="",'App Log'!D96=""),"",IF(TRIM('Actual Game'!D96&amp;"")=TRIM('App Log'!D96&amp;""),"MATCH","DIFF"))</f>
      </c>
      <c r="K96" s="5">
        <f>IF('Actual Game'!E96="","",'Actual Game'!E96)</f>
      </c>
      <c r="L96" s="5">
        <f>IF('App Log'!E96="","",'App Log'!E96)</f>
      </c>
      <c r="M96" s="5">
        <f>IF(AND('Actual Game'!E96="",'App Log'!E96=""),"",IF(TRIM('Actual Game'!E96&amp;"")=TRIM('App Log'!E96&amp;""),"MATCH","DIFF"))</f>
      </c>
      <c r="N96" s="5">
        <f>IF('Actual Game'!F96="","",'Actual Game'!F96)</f>
      </c>
      <c r="O96" s="5">
        <f>IF('App Log'!F96="","",'App Log'!F96)</f>
      </c>
      <c r="P96" s="5">
        <f>IF(AND('Actual Game'!F96="",'App Log'!F96=""),"",IF(TRIM('Actual Game'!F96&amp;"")=TRIM('App Log'!F96&amp;""),"MATCH","DIFF"))</f>
      </c>
      <c r="Q96" s="5">
        <f>IF('Actual Game'!I96="","",'Actual Game'!I96)</f>
      </c>
      <c r="R96" s="5">
        <f>IF('App Log'!I96="","",'App Log'!I96)</f>
      </c>
      <c r="S96" s="5">
        <f>IF(AND('Actual Game'!I96="",'App Log'!I96=""),"",IF(TRIM('Actual Game'!I96&amp;"")=TRIM('App Log'!I96&amp;""),"MATCH","DIFF"))</f>
      </c>
      <c r="T96" s="5">
        <f>IF('Actual Game'!H96="","",'Actual Game'!H96)</f>
      </c>
      <c r="U96" s="5">
        <f>IF('App Log'!H96="","",'App Log'!H96)</f>
      </c>
      <c r="V96" s="5">
        <f>IF(AND('Actual Game'!H96="",'App Log'!H96=""),"",IF(TRIM('Actual Game'!H96&amp;"")=TRIM('App Log'!H96&amp;""),"MATCH","DIFF"))</f>
      </c>
      <c r="W96" s="5">
        <f>IF('Actual Game'!J96="","",'Actual Game'!J96)</f>
      </c>
      <c r="X96" s="5">
        <f>IF('App Log'!J96="","",'App Log'!J96)</f>
      </c>
      <c r="Y96" s="5">
        <f>IF(AND('Actual Game'!J96="",'App Log'!J96=""),"",IF(TRIM('Actual Game'!J96&amp;"")=TRIM('App Log'!J96&amp;""),"MATCH","DIFF"))</f>
      </c>
      <c r="Z96" s="5">
        <f>IF('Actual Game'!K96="","",'Actual Game'!K96)</f>
      </c>
      <c r="AA96" s="5">
        <f>IF('App Log'!K96="","",'App Log'!K96)</f>
      </c>
      <c r="AB96" s="5">
        <f>IF(AND('Actual Game'!K96="",'App Log'!K96=""),"",IF(TRIM('Actual Game'!K96&amp;"")=TRIM('App Log'!K96&amp;""),"MATCH","DIFF"))</f>
      </c>
      <c r="AC96" s="5">
        <f>IF(AND('Actual Game'!A96="",'App Log'!A96=""),"",IF(COUNTIF(D96:AB96,"DIFF")=0,"MATCH","CHECK"))</f>
      </c>
    </row>
    <row r="97" ht="19" customHeight="1">
      <c r="A97" s="5"/>
      <c r="B97" s="5">
        <f>IF('Actual Game'!B97="","",'Actual Game'!B97)</f>
      </c>
      <c r="C97" s="5">
        <f>IF('App Log'!B97="","",'App Log'!B97)</f>
      </c>
      <c r="D97" s="5">
        <f>IF(AND('Actual Game'!B97="",'App Log'!B97=""),"",IF(TRIM('Actual Game'!B97&amp;"")=TRIM('App Log'!B97&amp;""),"MATCH","DIFF"))</f>
      </c>
      <c r="E97" s="5">
        <f>IF('Actual Game'!C97="","",'Actual Game'!C97)</f>
      </c>
      <c r="F97" s="5">
        <f>IF('App Log'!C97="","",'App Log'!C97)</f>
      </c>
      <c r="G97" s="5">
        <f>IF(AND('Actual Game'!C97="",'App Log'!C97=""),"",IF(TRIM('Actual Game'!C97&amp;"")=TRIM('App Log'!C97&amp;""),"MATCH","DIFF"))</f>
      </c>
      <c r="H97" s="5">
        <f>IF('Actual Game'!D97="","",'Actual Game'!D97)</f>
      </c>
      <c r="I97" s="5">
        <f>IF('App Log'!D97="","",'App Log'!D97)</f>
      </c>
      <c r="J97" s="5">
        <f>IF(AND('Actual Game'!D97="",'App Log'!D97=""),"",IF(TRIM('Actual Game'!D97&amp;"")=TRIM('App Log'!D97&amp;""),"MATCH","DIFF"))</f>
      </c>
      <c r="K97" s="5">
        <f>IF('Actual Game'!E97="","",'Actual Game'!E97)</f>
      </c>
      <c r="L97" s="5">
        <f>IF('App Log'!E97="","",'App Log'!E97)</f>
      </c>
      <c r="M97" s="5">
        <f>IF(AND('Actual Game'!E97="",'App Log'!E97=""),"",IF(TRIM('Actual Game'!E97&amp;"")=TRIM('App Log'!E97&amp;""),"MATCH","DIFF"))</f>
      </c>
      <c r="N97" s="5">
        <f>IF('Actual Game'!F97="","",'Actual Game'!F97)</f>
      </c>
      <c r="O97" s="5">
        <f>IF('App Log'!F97="","",'App Log'!F97)</f>
      </c>
      <c r="P97" s="5">
        <f>IF(AND('Actual Game'!F97="",'App Log'!F97=""),"",IF(TRIM('Actual Game'!F97&amp;"")=TRIM('App Log'!F97&amp;""),"MATCH","DIFF"))</f>
      </c>
      <c r="Q97" s="5">
        <f>IF('Actual Game'!I97="","",'Actual Game'!I97)</f>
      </c>
      <c r="R97" s="5">
        <f>IF('App Log'!I97="","",'App Log'!I97)</f>
      </c>
      <c r="S97" s="5">
        <f>IF(AND('Actual Game'!I97="",'App Log'!I97=""),"",IF(TRIM('Actual Game'!I97&amp;"")=TRIM('App Log'!I97&amp;""),"MATCH","DIFF"))</f>
      </c>
      <c r="T97" s="5">
        <f>IF('Actual Game'!H97="","",'Actual Game'!H97)</f>
      </c>
      <c r="U97" s="5">
        <f>IF('App Log'!H97="","",'App Log'!H97)</f>
      </c>
      <c r="V97" s="5">
        <f>IF(AND('Actual Game'!H97="",'App Log'!H97=""),"",IF(TRIM('Actual Game'!H97&amp;"")=TRIM('App Log'!H97&amp;""),"MATCH","DIFF"))</f>
      </c>
      <c r="W97" s="5">
        <f>IF('Actual Game'!J97="","",'Actual Game'!J97)</f>
      </c>
      <c r="X97" s="5">
        <f>IF('App Log'!J97="","",'App Log'!J97)</f>
      </c>
      <c r="Y97" s="5">
        <f>IF(AND('Actual Game'!J97="",'App Log'!J97=""),"",IF(TRIM('Actual Game'!J97&amp;"")=TRIM('App Log'!J97&amp;""),"MATCH","DIFF"))</f>
      </c>
      <c r="Z97" s="5">
        <f>IF('Actual Game'!K97="","",'Actual Game'!K97)</f>
      </c>
      <c r="AA97" s="5">
        <f>IF('App Log'!K97="","",'App Log'!K97)</f>
      </c>
      <c r="AB97" s="5">
        <f>IF(AND('Actual Game'!K97="",'App Log'!K97=""),"",IF(TRIM('Actual Game'!K97&amp;"")=TRIM('App Log'!K97&amp;""),"MATCH","DIFF"))</f>
      </c>
      <c r="AC97" s="5">
        <f>IF(AND('Actual Game'!A97="",'App Log'!A97=""),"",IF(COUNTIF(D97:AB97,"DIFF")=0,"MATCH","CHECK"))</f>
      </c>
    </row>
    <row r="98" ht="19" customHeight="1">
      <c r="A98" s="5"/>
      <c r="B98" s="5">
        <f>IF('Actual Game'!B98="","",'Actual Game'!B98)</f>
      </c>
      <c r="C98" s="5">
        <f>IF('App Log'!B98="","",'App Log'!B98)</f>
      </c>
      <c r="D98" s="5">
        <f>IF(AND('Actual Game'!B98="",'App Log'!B98=""),"",IF(TRIM('Actual Game'!B98&amp;"")=TRIM('App Log'!B98&amp;""),"MATCH","DIFF"))</f>
      </c>
      <c r="E98" s="5">
        <f>IF('Actual Game'!C98="","",'Actual Game'!C98)</f>
      </c>
      <c r="F98" s="5">
        <f>IF('App Log'!C98="","",'App Log'!C98)</f>
      </c>
      <c r="G98" s="5">
        <f>IF(AND('Actual Game'!C98="",'App Log'!C98=""),"",IF(TRIM('Actual Game'!C98&amp;"")=TRIM('App Log'!C98&amp;""),"MATCH","DIFF"))</f>
      </c>
      <c r="H98" s="5">
        <f>IF('Actual Game'!D98="","",'Actual Game'!D98)</f>
      </c>
      <c r="I98" s="5">
        <f>IF('App Log'!D98="","",'App Log'!D98)</f>
      </c>
      <c r="J98" s="5">
        <f>IF(AND('Actual Game'!D98="",'App Log'!D98=""),"",IF(TRIM('Actual Game'!D98&amp;"")=TRIM('App Log'!D98&amp;""),"MATCH","DIFF"))</f>
      </c>
      <c r="K98" s="5">
        <f>IF('Actual Game'!E98="","",'Actual Game'!E98)</f>
      </c>
      <c r="L98" s="5">
        <f>IF('App Log'!E98="","",'App Log'!E98)</f>
      </c>
      <c r="M98" s="5">
        <f>IF(AND('Actual Game'!E98="",'App Log'!E98=""),"",IF(TRIM('Actual Game'!E98&amp;"")=TRIM('App Log'!E98&amp;""),"MATCH","DIFF"))</f>
      </c>
      <c r="N98" s="5">
        <f>IF('Actual Game'!F98="","",'Actual Game'!F98)</f>
      </c>
      <c r="O98" s="5">
        <f>IF('App Log'!F98="","",'App Log'!F98)</f>
      </c>
      <c r="P98" s="5">
        <f>IF(AND('Actual Game'!F98="",'App Log'!F98=""),"",IF(TRIM('Actual Game'!F98&amp;"")=TRIM('App Log'!F98&amp;""),"MATCH","DIFF"))</f>
      </c>
      <c r="Q98" s="5">
        <f>IF('Actual Game'!I98="","",'Actual Game'!I98)</f>
      </c>
      <c r="R98" s="5">
        <f>IF('App Log'!I98="","",'App Log'!I98)</f>
      </c>
      <c r="S98" s="5">
        <f>IF(AND('Actual Game'!I98="",'App Log'!I98=""),"",IF(TRIM('Actual Game'!I98&amp;"")=TRIM('App Log'!I98&amp;""),"MATCH","DIFF"))</f>
      </c>
      <c r="T98" s="5">
        <f>IF('Actual Game'!H98="","",'Actual Game'!H98)</f>
      </c>
      <c r="U98" s="5">
        <f>IF('App Log'!H98="","",'App Log'!H98)</f>
      </c>
      <c r="V98" s="5">
        <f>IF(AND('Actual Game'!H98="",'App Log'!H98=""),"",IF(TRIM('Actual Game'!H98&amp;"")=TRIM('App Log'!H98&amp;""),"MATCH","DIFF"))</f>
      </c>
      <c r="W98" s="5">
        <f>IF('Actual Game'!J98="","",'Actual Game'!J98)</f>
      </c>
      <c r="X98" s="5">
        <f>IF('App Log'!J98="","",'App Log'!J98)</f>
      </c>
      <c r="Y98" s="5">
        <f>IF(AND('Actual Game'!J98="",'App Log'!J98=""),"",IF(TRIM('Actual Game'!J98&amp;"")=TRIM('App Log'!J98&amp;""),"MATCH","DIFF"))</f>
      </c>
      <c r="Z98" s="5">
        <f>IF('Actual Game'!K98="","",'Actual Game'!K98)</f>
      </c>
      <c r="AA98" s="5">
        <f>IF('App Log'!K98="","",'App Log'!K98)</f>
      </c>
      <c r="AB98" s="5">
        <f>IF(AND('Actual Game'!K98="",'App Log'!K98=""),"",IF(TRIM('Actual Game'!K98&amp;"")=TRIM('App Log'!K98&amp;""),"MATCH","DIFF"))</f>
      </c>
      <c r="AC98" s="5">
        <f>IF(AND('Actual Game'!A98="",'App Log'!A98=""),"",IF(COUNTIF(D98:AB98,"DIFF")=0,"MATCH","CHECK"))</f>
      </c>
    </row>
    <row r="99" ht="19" customHeight="1">
      <c r="A99" s="5"/>
      <c r="B99" s="5">
        <f>IF('Actual Game'!B99="","",'Actual Game'!B99)</f>
      </c>
      <c r="C99" s="5">
        <f>IF('App Log'!B99="","",'App Log'!B99)</f>
      </c>
      <c r="D99" s="5">
        <f>IF(AND('Actual Game'!B99="",'App Log'!B99=""),"",IF(TRIM('Actual Game'!B99&amp;"")=TRIM('App Log'!B99&amp;""),"MATCH","DIFF"))</f>
      </c>
      <c r="E99" s="5">
        <f>IF('Actual Game'!C99="","",'Actual Game'!C99)</f>
      </c>
      <c r="F99" s="5">
        <f>IF('App Log'!C99="","",'App Log'!C99)</f>
      </c>
      <c r="G99" s="5">
        <f>IF(AND('Actual Game'!C99="",'App Log'!C99=""),"",IF(TRIM('Actual Game'!C99&amp;"")=TRIM('App Log'!C99&amp;""),"MATCH","DIFF"))</f>
      </c>
      <c r="H99" s="5">
        <f>IF('Actual Game'!D99="","",'Actual Game'!D99)</f>
      </c>
      <c r="I99" s="5">
        <f>IF('App Log'!D99="","",'App Log'!D99)</f>
      </c>
      <c r="J99" s="5">
        <f>IF(AND('Actual Game'!D99="",'App Log'!D99=""),"",IF(TRIM('Actual Game'!D99&amp;"")=TRIM('App Log'!D99&amp;""),"MATCH","DIFF"))</f>
      </c>
      <c r="K99" s="5">
        <f>IF('Actual Game'!E99="","",'Actual Game'!E99)</f>
      </c>
      <c r="L99" s="5">
        <f>IF('App Log'!E99="","",'App Log'!E99)</f>
      </c>
      <c r="M99" s="5">
        <f>IF(AND('Actual Game'!E99="",'App Log'!E99=""),"",IF(TRIM('Actual Game'!E99&amp;"")=TRIM('App Log'!E99&amp;""),"MATCH","DIFF"))</f>
      </c>
      <c r="N99" s="5">
        <f>IF('Actual Game'!F99="","",'Actual Game'!F99)</f>
      </c>
      <c r="O99" s="5">
        <f>IF('App Log'!F99="","",'App Log'!F99)</f>
      </c>
      <c r="P99" s="5">
        <f>IF(AND('Actual Game'!F99="",'App Log'!F99=""),"",IF(TRIM('Actual Game'!F99&amp;"")=TRIM('App Log'!F99&amp;""),"MATCH","DIFF"))</f>
      </c>
      <c r="Q99" s="5">
        <f>IF('Actual Game'!I99="","",'Actual Game'!I99)</f>
      </c>
      <c r="R99" s="5">
        <f>IF('App Log'!I99="","",'App Log'!I99)</f>
      </c>
      <c r="S99" s="5">
        <f>IF(AND('Actual Game'!I99="",'App Log'!I99=""),"",IF(TRIM('Actual Game'!I99&amp;"")=TRIM('App Log'!I99&amp;""),"MATCH","DIFF"))</f>
      </c>
      <c r="T99" s="5">
        <f>IF('Actual Game'!H99="","",'Actual Game'!H99)</f>
      </c>
      <c r="U99" s="5">
        <f>IF('App Log'!H99="","",'App Log'!H99)</f>
      </c>
      <c r="V99" s="5">
        <f>IF(AND('Actual Game'!H99="",'App Log'!H99=""),"",IF(TRIM('Actual Game'!H99&amp;"")=TRIM('App Log'!H99&amp;""),"MATCH","DIFF"))</f>
      </c>
      <c r="W99" s="5">
        <f>IF('Actual Game'!J99="","",'Actual Game'!J99)</f>
      </c>
      <c r="X99" s="5">
        <f>IF('App Log'!J99="","",'App Log'!J99)</f>
      </c>
      <c r="Y99" s="5">
        <f>IF(AND('Actual Game'!J99="",'App Log'!J99=""),"",IF(TRIM('Actual Game'!J99&amp;"")=TRIM('App Log'!J99&amp;""),"MATCH","DIFF"))</f>
      </c>
      <c r="Z99" s="5">
        <f>IF('Actual Game'!K99="","",'Actual Game'!K99)</f>
      </c>
      <c r="AA99" s="5">
        <f>IF('App Log'!K99="","",'App Log'!K99)</f>
      </c>
      <c r="AB99" s="5">
        <f>IF(AND('Actual Game'!K99="",'App Log'!K99=""),"",IF(TRIM('Actual Game'!K99&amp;"")=TRIM('App Log'!K99&amp;""),"MATCH","DIFF"))</f>
      </c>
      <c r="AC99" s="5">
        <f>IF(AND('Actual Game'!A99="",'App Log'!A99=""),"",IF(COUNTIF(D99:AB99,"DIFF")=0,"MATCH","CHECK"))</f>
      </c>
    </row>
    <row r="100" ht="19" customHeight="1">
      <c r="A100" s="5"/>
      <c r="B100" s="5">
        <f>IF('Actual Game'!B100="","",'Actual Game'!B100)</f>
      </c>
      <c r="C100" s="5">
        <f>IF('App Log'!B100="","",'App Log'!B100)</f>
      </c>
      <c r="D100" s="5">
        <f>IF(AND('Actual Game'!B100="",'App Log'!B100=""),"",IF(TRIM('Actual Game'!B100&amp;"")=TRIM('App Log'!B100&amp;""),"MATCH","DIFF"))</f>
      </c>
      <c r="E100" s="5">
        <f>IF('Actual Game'!C100="","",'Actual Game'!C100)</f>
      </c>
      <c r="F100" s="5">
        <f>IF('App Log'!C100="","",'App Log'!C100)</f>
      </c>
      <c r="G100" s="5">
        <f>IF(AND('Actual Game'!C100="",'App Log'!C100=""),"",IF(TRIM('Actual Game'!C100&amp;"")=TRIM('App Log'!C100&amp;""),"MATCH","DIFF"))</f>
      </c>
      <c r="H100" s="5">
        <f>IF('Actual Game'!D100="","",'Actual Game'!D100)</f>
      </c>
      <c r="I100" s="5">
        <f>IF('App Log'!D100="","",'App Log'!D100)</f>
      </c>
      <c r="J100" s="5">
        <f>IF(AND('Actual Game'!D100="",'App Log'!D100=""),"",IF(TRIM('Actual Game'!D100&amp;"")=TRIM('App Log'!D100&amp;""),"MATCH","DIFF"))</f>
      </c>
      <c r="K100" s="5">
        <f>IF('Actual Game'!E100="","",'Actual Game'!E100)</f>
      </c>
      <c r="L100" s="5">
        <f>IF('App Log'!E100="","",'App Log'!E100)</f>
      </c>
      <c r="M100" s="5">
        <f>IF(AND('Actual Game'!E100="",'App Log'!E100=""),"",IF(TRIM('Actual Game'!E100&amp;"")=TRIM('App Log'!E100&amp;""),"MATCH","DIFF"))</f>
      </c>
      <c r="N100" s="5">
        <f>IF('Actual Game'!F100="","",'Actual Game'!F100)</f>
      </c>
      <c r="O100" s="5">
        <f>IF('App Log'!F100="","",'App Log'!F100)</f>
      </c>
      <c r="P100" s="5">
        <f>IF(AND('Actual Game'!F100="",'App Log'!F100=""),"",IF(TRIM('Actual Game'!F100&amp;"")=TRIM('App Log'!F100&amp;""),"MATCH","DIFF"))</f>
      </c>
      <c r="Q100" s="5">
        <f>IF('Actual Game'!I100="","",'Actual Game'!I100)</f>
      </c>
      <c r="R100" s="5">
        <f>IF('App Log'!I100="","",'App Log'!I100)</f>
      </c>
      <c r="S100" s="5">
        <f>IF(AND('Actual Game'!I100="",'App Log'!I100=""),"",IF(TRIM('Actual Game'!I100&amp;"")=TRIM('App Log'!I100&amp;""),"MATCH","DIFF"))</f>
      </c>
      <c r="T100" s="5">
        <f>IF('Actual Game'!H100="","",'Actual Game'!H100)</f>
      </c>
      <c r="U100" s="5">
        <f>IF('App Log'!H100="","",'App Log'!H100)</f>
      </c>
      <c r="V100" s="5">
        <f>IF(AND('Actual Game'!H100="",'App Log'!H100=""),"",IF(TRIM('Actual Game'!H100&amp;"")=TRIM('App Log'!H100&amp;""),"MATCH","DIFF"))</f>
      </c>
      <c r="W100" s="5">
        <f>IF('Actual Game'!J100="","",'Actual Game'!J100)</f>
      </c>
      <c r="X100" s="5">
        <f>IF('App Log'!J100="","",'App Log'!J100)</f>
      </c>
      <c r="Y100" s="5">
        <f>IF(AND('Actual Game'!J100="",'App Log'!J100=""),"",IF(TRIM('Actual Game'!J100&amp;"")=TRIM('App Log'!J100&amp;""),"MATCH","DIFF"))</f>
      </c>
      <c r="Z100" s="5">
        <f>IF('Actual Game'!K100="","",'Actual Game'!K100)</f>
      </c>
      <c r="AA100" s="5">
        <f>IF('App Log'!K100="","",'App Log'!K100)</f>
      </c>
      <c r="AB100" s="5">
        <f>IF(AND('Actual Game'!K100="",'App Log'!K100=""),"",IF(TRIM('Actual Game'!K100&amp;"")=TRIM('App Log'!K100&amp;""),"MATCH","DIFF"))</f>
      </c>
      <c r="AC100" s="5">
        <f>IF(AND('Actual Game'!A100="",'App Log'!A100=""),"",IF(COUNTIF(D100:AB100,"DIFF")=0,"MATCH","CHECK"))</f>
      </c>
    </row>
    <row r="101" ht="19" customHeight="1">
      <c r="A101" s="5"/>
      <c r="B101" s="5">
        <f>IF('Actual Game'!B101="","",'Actual Game'!B101)</f>
      </c>
      <c r="C101" s="5">
        <f>IF('App Log'!B101="","",'App Log'!B101)</f>
      </c>
      <c r="D101" s="5">
        <f>IF(AND('Actual Game'!B101="",'App Log'!B101=""),"",IF(TRIM('Actual Game'!B101&amp;"")=TRIM('App Log'!B101&amp;""),"MATCH","DIFF"))</f>
      </c>
      <c r="E101" s="5">
        <f>IF('Actual Game'!C101="","",'Actual Game'!C101)</f>
      </c>
      <c r="F101" s="5">
        <f>IF('App Log'!C101="","",'App Log'!C101)</f>
      </c>
      <c r="G101" s="5">
        <f>IF(AND('Actual Game'!C101="",'App Log'!C101=""),"",IF(TRIM('Actual Game'!C101&amp;"")=TRIM('App Log'!C101&amp;""),"MATCH","DIFF"))</f>
      </c>
      <c r="H101" s="5">
        <f>IF('Actual Game'!D101="","",'Actual Game'!D101)</f>
      </c>
      <c r="I101" s="5">
        <f>IF('App Log'!D101="","",'App Log'!D101)</f>
      </c>
      <c r="J101" s="5">
        <f>IF(AND('Actual Game'!D101="",'App Log'!D101=""),"",IF(TRIM('Actual Game'!D101&amp;"")=TRIM('App Log'!D101&amp;""),"MATCH","DIFF"))</f>
      </c>
      <c r="K101" s="5">
        <f>IF('Actual Game'!E101="","",'Actual Game'!E101)</f>
      </c>
      <c r="L101" s="5">
        <f>IF('App Log'!E101="","",'App Log'!E101)</f>
      </c>
      <c r="M101" s="5">
        <f>IF(AND('Actual Game'!E101="",'App Log'!E101=""),"",IF(TRIM('Actual Game'!E101&amp;"")=TRIM('App Log'!E101&amp;""),"MATCH","DIFF"))</f>
      </c>
      <c r="N101" s="5">
        <f>IF('Actual Game'!F101="","",'Actual Game'!F101)</f>
      </c>
      <c r="O101" s="5">
        <f>IF('App Log'!F101="","",'App Log'!F101)</f>
      </c>
      <c r="P101" s="5">
        <f>IF(AND('Actual Game'!F101="",'App Log'!F101=""),"",IF(TRIM('Actual Game'!F101&amp;"")=TRIM('App Log'!F101&amp;""),"MATCH","DIFF"))</f>
      </c>
      <c r="Q101" s="5">
        <f>IF('Actual Game'!I101="","",'Actual Game'!I101)</f>
      </c>
      <c r="R101" s="5">
        <f>IF('App Log'!I101="","",'App Log'!I101)</f>
      </c>
      <c r="S101" s="5">
        <f>IF(AND('Actual Game'!I101="",'App Log'!I101=""),"",IF(TRIM('Actual Game'!I101&amp;"")=TRIM('App Log'!I101&amp;""),"MATCH","DIFF"))</f>
      </c>
      <c r="T101" s="5">
        <f>IF('Actual Game'!H101="","",'Actual Game'!H101)</f>
      </c>
      <c r="U101" s="5">
        <f>IF('App Log'!H101="","",'App Log'!H101)</f>
      </c>
      <c r="V101" s="5">
        <f>IF(AND('Actual Game'!H101="",'App Log'!H101=""),"",IF(TRIM('Actual Game'!H101&amp;"")=TRIM('App Log'!H101&amp;""),"MATCH","DIFF"))</f>
      </c>
      <c r="W101" s="5">
        <f>IF('Actual Game'!J101="","",'Actual Game'!J101)</f>
      </c>
      <c r="X101" s="5">
        <f>IF('App Log'!J101="","",'App Log'!J101)</f>
      </c>
      <c r="Y101" s="5">
        <f>IF(AND('Actual Game'!J101="",'App Log'!J101=""),"",IF(TRIM('Actual Game'!J101&amp;"")=TRIM('App Log'!J101&amp;""),"MATCH","DIFF"))</f>
      </c>
      <c r="Z101" s="5">
        <f>IF('Actual Game'!K101="","",'Actual Game'!K101)</f>
      </c>
      <c r="AA101" s="5">
        <f>IF('App Log'!K101="","",'App Log'!K101)</f>
      </c>
      <c r="AB101" s="5">
        <f>IF(AND('Actual Game'!K101="",'App Log'!K101=""),"",IF(TRIM('Actual Game'!K101&amp;"")=TRIM('App Log'!K101&amp;""),"MATCH","DIFF"))</f>
      </c>
      <c r="AC101" s="5">
        <f>IF(AND('Actual Game'!A101="",'App Log'!A101=""),"",IF(COUNTIF(D101:AB101,"DIFF")=0,"MATCH","CHECK"))</f>
      </c>
    </row>
    <row r="102" ht="19" customHeight="1">
      <c r="A102" s="5"/>
      <c r="B102" s="5">
        <f>IF('Actual Game'!B102="","",'Actual Game'!B102)</f>
      </c>
      <c r="C102" s="5">
        <f>IF('App Log'!B102="","",'App Log'!B102)</f>
      </c>
      <c r="D102" s="5">
        <f>IF(AND('Actual Game'!B102="",'App Log'!B102=""),"",IF(TRIM('Actual Game'!B102&amp;"")=TRIM('App Log'!B102&amp;""),"MATCH","DIFF"))</f>
      </c>
      <c r="E102" s="5">
        <f>IF('Actual Game'!C102="","",'Actual Game'!C102)</f>
      </c>
      <c r="F102" s="5">
        <f>IF('App Log'!C102="","",'App Log'!C102)</f>
      </c>
      <c r="G102" s="5">
        <f>IF(AND('Actual Game'!C102="",'App Log'!C102=""),"",IF(TRIM('Actual Game'!C102&amp;"")=TRIM('App Log'!C102&amp;""),"MATCH","DIFF"))</f>
      </c>
      <c r="H102" s="5">
        <f>IF('Actual Game'!D102="","",'Actual Game'!D102)</f>
      </c>
      <c r="I102" s="5">
        <f>IF('App Log'!D102="","",'App Log'!D102)</f>
      </c>
      <c r="J102" s="5">
        <f>IF(AND('Actual Game'!D102="",'App Log'!D102=""),"",IF(TRIM('Actual Game'!D102&amp;"")=TRIM('App Log'!D102&amp;""),"MATCH","DIFF"))</f>
      </c>
      <c r="K102" s="5">
        <f>IF('Actual Game'!E102="","",'Actual Game'!E102)</f>
      </c>
      <c r="L102" s="5">
        <f>IF('App Log'!E102="","",'App Log'!E102)</f>
      </c>
      <c r="M102" s="5">
        <f>IF(AND('Actual Game'!E102="",'App Log'!E102=""),"",IF(TRIM('Actual Game'!E102&amp;"")=TRIM('App Log'!E102&amp;""),"MATCH","DIFF"))</f>
      </c>
      <c r="N102" s="5">
        <f>IF('Actual Game'!F102="","",'Actual Game'!F102)</f>
      </c>
      <c r="O102" s="5">
        <f>IF('App Log'!F102="","",'App Log'!F102)</f>
      </c>
      <c r="P102" s="5">
        <f>IF(AND('Actual Game'!F102="",'App Log'!F102=""),"",IF(TRIM('Actual Game'!F102&amp;"")=TRIM('App Log'!F102&amp;""),"MATCH","DIFF"))</f>
      </c>
      <c r="Q102" s="5">
        <f>IF('Actual Game'!I102="","",'Actual Game'!I102)</f>
      </c>
      <c r="R102" s="5">
        <f>IF('App Log'!I102="","",'App Log'!I102)</f>
      </c>
      <c r="S102" s="5">
        <f>IF(AND('Actual Game'!I102="",'App Log'!I102=""),"",IF(TRIM('Actual Game'!I102&amp;"")=TRIM('App Log'!I102&amp;""),"MATCH","DIFF"))</f>
      </c>
      <c r="T102" s="5">
        <f>IF('Actual Game'!H102="","",'Actual Game'!H102)</f>
      </c>
      <c r="U102" s="5">
        <f>IF('App Log'!H102="","",'App Log'!H102)</f>
      </c>
      <c r="V102" s="5">
        <f>IF(AND('Actual Game'!H102="",'App Log'!H102=""),"",IF(TRIM('Actual Game'!H102&amp;"")=TRIM('App Log'!H102&amp;""),"MATCH","DIFF"))</f>
      </c>
      <c r="W102" s="5">
        <f>IF('Actual Game'!J102="","",'Actual Game'!J102)</f>
      </c>
      <c r="X102" s="5">
        <f>IF('App Log'!J102="","",'App Log'!J102)</f>
      </c>
      <c r="Y102" s="5">
        <f>IF(AND('Actual Game'!J102="",'App Log'!J102=""),"",IF(TRIM('Actual Game'!J102&amp;"")=TRIM('App Log'!J102&amp;""),"MATCH","DIFF"))</f>
      </c>
      <c r="Z102" s="5">
        <f>IF('Actual Game'!K102="","",'Actual Game'!K102)</f>
      </c>
      <c r="AA102" s="5">
        <f>IF('App Log'!K102="","",'App Log'!K102)</f>
      </c>
      <c r="AB102" s="5">
        <f>IF(AND('Actual Game'!K102="",'App Log'!K102=""),"",IF(TRIM('Actual Game'!K102&amp;"")=TRIM('App Log'!K102&amp;""),"MATCH","DIFF"))</f>
      </c>
      <c r="AC102" s="5">
        <f>IF(AND('Actual Game'!A102="",'App Log'!A102=""),"",IF(COUNTIF(D102:AB102,"DIFF")=0,"MATCH","CHECK"))</f>
      </c>
    </row>
    <row r="103" ht="19" customHeight="1">
      <c r="A103" s="5"/>
      <c r="B103" s="5">
        <f>IF('Actual Game'!B103="","",'Actual Game'!B103)</f>
      </c>
      <c r="C103" s="5">
        <f>IF('App Log'!B103="","",'App Log'!B103)</f>
      </c>
      <c r="D103" s="5">
        <f>IF(AND('Actual Game'!B103="",'App Log'!B103=""),"",IF(TRIM('Actual Game'!B103&amp;"")=TRIM('App Log'!B103&amp;""),"MATCH","DIFF"))</f>
      </c>
      <c r="E103" s="5">
        <f>IF('Actual Game'!C103="","",'Actual Game'!C103)</f>
      </c>
      <c r="F103" s="5">
        <f>IF('App Log'!C103="","",'App Log'!C103)</f>
      </c>
      <c r="G103" s="5">
        <f>IF(AND('Actual Game'!C103="",'App Log'!C103=""),"",IF(TRIM('Actual Game'!C103&amp;"")=TRIM('App Log'!C103&amp;""),"MATCH","DIFF"))</f>
      </c>
      <c r="H103" s="5">
        <f>IF('Actual Game'!D103="","",'Actual Game'!D103)</f>
      </c>
      <c r="I103" s="5">
        <f>IF('App Log'!D103="","",'App Log'!D103)</f>
      </c>
      <c r="J103" s="5">
        <f>IF(AND('Actual Game'!D103="",'App Log'!D103=""),"",IF(TRIM('Actual Game'!D103&amp;"")=TRIM('App Log'!D103&amp;""),"MATCH","DIFF"))</f>
      </c>
      <c r="K103" s="5">
        <f>IF('Actual Game'!E103="","",'Actual Game'!E103)</f>
      </c>
      <c r="L103" s="5">
        <f>IF('App Log'!E103="","",'App Log'!E103)</f>
      </c>
      <c r="M103" s="5">
        <f>IF(AND('Actual Game'!E103="",'App Log'!E103=""),"",IF(TRIM('Actual Game'!E103&amp;"")=TRIM('App Log'!E103&amp;""),"MATCH","DIFF"))</f>
      </c>
      <c r="N103" s="5">
        <f>IF('Actual Game'!F103="","",'Actual Game'!F103)</f>
      </c>
      <c r="O103" s="5">
        <f>IF('App Log'!F103="","",'App Log'!F103)</f>
      </c>
      <c r="P103" s="5">
        <f>IF(AND('Actual Game'!F103="",'App Log'!F103=""),"",IF(TRIM('Actual Game'!F103&amp;"")=TRIM('App Log'!F103&amp;""),"MATCH","DIFF"))</f>
      </c>
      <c r="Q103" s="5">
        <f>IF('Actual Game'!I103="","",'Actual Game'!I103)</f>
      </c>
      <c r="R103" s="5">
        <f>IF('App Log'!I103="","",'App Log'!I103)</f>
      </c>
      <c r="S103" s="5">
        <f>IF(AND('Actual Game'!I103="",'App Log'!I103=""),"",IF(TRIM('Actual Game'!I103&amp;"")=TRIM('App Log'!I103&amp;""),"MATCH","DIFF"))</f>
      </c>
      <c r="T103" s="5">
        <f>IF('Actual Game'!H103="","",'Actual Game'!H103)</f>
      </c>
      <c r="U103" s="5">
        <f>IF('App Log'!H103="","",'App Log'!H103)</f>
      </c>
      <c r="V103" s="5">
        <f>IF(AND('Actual Game'!H103="",'App Log'!H103=""),"",IF(TRIM('Actual Game'!H103&amp;"")=TRIM('App Log'!H103&amp;""),"MATCH","DIFF"))</f>
      </c>
      <c r="W103" s="5">
        <f>IF('Actual Game'!J103="","",'Actual Game'!J103)</f>
      </c>
      <c r="X103" s="5">
        <f>IF('App Log'!J103="","",'App Log'!J103)</f>
      </c>
      <c r="Y103" s="5">
        <f>IF(AND('Actual Game'!J103="",'App Log'!J103=""),"",IF(TRIM('Actual Game'!J103&amp;"")=TRIM('App Log'!J103&amp;""),"MATCH","DIFF"))</f>
      </c>
      <c r="Z103" s="5">
        <f>IF('Actual Game'!K103="","",'Actual Game'!K103)</f>
      </c>
      <c r="AA103" s="5">
        <f>IF('App Log'!K103="","",'App Log'!K103)</f>
      </c>
      <c r="AB103" s="5">
        <f>IF(AND('Actual Game'!K103="",'App Log'!K103=""),"",IF(TRIM('Actual Game'!K103&amp;"")=TRIM('App Log'!K103&amp;""),"MATCH","DIFF"))</f>
      </c>
      <c r="AC103" s="5">
        <f>IF(AND('Actual Game'!A103="",'App Log'!A103=""),"",IF(COUNTIF(D103:AB103,"DIFF")=0,"MATCH","CHECK"))</f>
      </c>
    </row>
    <row r="104" ht="19" customHeight="1">
      <c r="A104" s="5"/>
      <c r="B104" s="5">
        <f>IF('Actual Game'!B104="","",'Actual Game'!B104)</f>
      </c>
      <c r="C104" s="5">
        <f>IF('App Log'!B104="","",'App Log'!B104)</f>
      </c>
      <c r="D104" s="5">
        <f>IF(AND('Actual Game'!B104="",'App Log'!B104=""),"",IF(TRIM('Actual Game'!B104&amp;"")=TRIM('App Log'!B104&amp;""),"MATCH","DIFF"))</f>
      </c>
      <c r="E104" s="5">
        <f>IF('Actual Game'!C104="","",'Actual Game'!C104)</f>
      </c>
      <c r="F104" s="5">
        <f>IF('App Log'!C104="","",'App Log'!C104)</f>
      </c>
      <c r="G104" s="5">
        <f>IF(AND('Actual Game'!C104="",'App Log'!C104=""),"",IF(TRIM('Actual Game'!C104&amp;"")=TRIM('App Log'!C104&amp;""),"MATCH","DIFF"))</f>
      </c>
      <c r="H104" s="5">
        <f>IF('Actual Game'!D104="","",'Actual Game'!D104)</f>
      </c>
      <c r="I104" s="5">
        <f>IF('App Log'!D104="","",'App Log'!D104)</f>
      </c>
      <c r="J104" s="5">
        <f>IF(AND('Actual Game'!D104="",'App Log'!D104=""),"",IF(TRIM('Actual Game'!D104&amp;"")=TRIM('App Log'!D104&amp;""),"MATCH","DIFF"))</f>
      </c>
      <c r="K104" s="5">
        <f>IF('Actual Game'!E104="","",'Actual Game'!E104)</f>
      </c>
      <c r="L104" s="5">
        <f>IF('App Log'!E104="","",'App Log'!E104)</f>
      </c>
      <c r="M104" s="5">
        <f>IF(AND('Actual Game'!E104="",'App Log'!E104=""),"",IF(TRIM('Actual Game'!E104&amp;"")=TRIM('App Log'!E104&amp;""),"MATCH","DIFF"))</f>
      </c>
      <c r="N104" s="5">
        <f>IF('Actual Game'!F104="","",'Actual Game'!F104)</f>
      </c>
      <c r="O104" s="5">
        <f>IF('App Log'!F104="","",'App Log'!F104)</f>
      </c>
      <c r="P104" s="5">
        <f>IF(AND('Actual Game'!F104="",'App Log'!F104=""),"",IF(TRIM('Actual Game'!F104&amp;"")=TRIM('App Log'!F104&amp;""),"MATCH","DIFF"))</f>
      </c>
      <c r="Q104" s="5">
        <f>IF('Actual Game'!I104="","",'Actual Game'!I104)</f>
      </c>
      <c r="R104" s="5">
        <f>IF('App Log'!I104="","",'App Log'!I104)</f>
      </c>
      <c r="S104" s="5">
        <f>IF(AND('Actual Game'!I104="",'App Log'!I104=""),"",IF(TRIM('Actual Game'!I104&amp;"")=TRIM('App Log'!I104&amp;""),"MATCH","DIFF"))</f>
      </c>
      <c r="T104" s="5">
        <f>IF('Actual Game'!H104="","",'Actual Game'!H104)</f>
      </c>
      <c r="U104" s="5">
        <f>IF('App Log'!H104="","",'App Log'!H104)</f>
      </c>
      <c r="V104" s="5">
        <f>IF(AND('Actual Game'!H104="",'App Log'!H104=""),"",IF(TRIM('Actual Game'!H104&amp;"")=TRIM('App Log'!H104&amp;""),"MATCH","DIFF"))</f>
      </c>
      <c r="W104" s="5">
        <f>IF('Actual Game'!J104="","",'Actual Game'!J104)</f>
      </c>
      <c r="X104" s="5">
        <f>IF('App Log'!J104="","",'App Log'!J104)</f>
      </c>
      <c r="Y104" s="5">
        <f>IF(AND('Actual Game'!J104="",'App Log'!J104=""),"",IF(TRIM('Actual Game'!J104&amp;"")=TRIM('App Log'!J104&amp;""),"MATCH","DIFF"))</f>
      </c>
      <c r="Z104" s="5">
        <f>IF('Actual Game'!K104="","",'Actual Game'!K104)</f>
      </c>
      <c r="AA104" s="5">
        <f>IF('App Log'!K104="","",'App Log'!K104)</f>
      </c>
      <c r="AB104" s="5">
        <f>IF(AND('Actual Game'!K104="",'App Log'!K104=""),"",IF(TRIM('Actual Game'!K104&amp;"")=TRIM('App Log'!K104&amp;""),"MATCH","DIFF"))</f>
      </c>
      <c r="AC104" s="5">
        <f>IF(AND('Actual Game'!A104="",'App Log'!A104=""),"",IF(COUNTIF(D104:AB104,"DIFF")=0,"MATCH","CHECK"))</f>
      </c>
    </row>
    <row r="105" ht="19" customHeight="1">
      <c r="A105" s="5"/>
      <c r="B105" s="5">
        <f>IF('Actual Game'!B105="","",'Actual Game'!B105)</f>
      </c>
      <c r="C105" s="5">
        <f>IF('App Log'!B105="","",'App Log'!B105)</f>
      </c>
      <c r="D105" s="5">
        <f>IF(AND('Actual Game'!B105="",'App Log'!B105=""),"",IF(TRIM('Actual Game'!B105&amp;"")=TRIM('App Log'!B105&amp;""),"MATCH","DIFF"))</f>
      </c>
      <c r="E105" s="5">
        <f>IF('Actual Game'!C105="","",'Actual Game'!C105)</f>
      </c>
      <c r="F105" s="5">
        <f>IF('App Log'!C105="","",'App Log'!C105)</f>
      </c>
      <c r="G105" s="5">
        <f>IF(AND('Actual Game'!C105="",'App Log'!C105=""),"",IF(TRIM('Actual Game'!C105&amp;"")=TRIM('App Log'!C105&amp;""),"MATCH","DIFF"))</f>
      </c>
      <c r="H105" s="5">
        <f>IF('Actual Game'!D105="","",'Actual Game'!D105)</f>
      </c>
      <c r="I105" s="5">
        <f>IF('App Log'!D105="","",'App Log'!D105)</f>
      </c>
      <c r="J105" s="5">
        <f>IF(AND('Actual Game'!D105="",'App Log'!D105=""),"",IF(TRIM('Actual Game'!D105&amp;"")=TRIM('App Log'!D105&amp;""),"MATCH","DIFF"))</f>
      </c>
      <c r="K105" s="5">
        <f>IF('Actual Game'!E105="","",'Actual Game'!E105)</f>
      </c>
      <c r="L105" s="5">
        <f>IF('App Log'!E105="","",'App Log'!E105)</f>
      </c>
      <c r="M105" s="5">
        <f>IF(AND('Actual Game'!E105="",'App Log'!E105=""),"",IF(TRIM('Actual Game'!E105&amp;"")=TRIM('App Log'!E105&amp;""),"MATCH","DIFF"))</f>
      </c>
      <c r="N105" s="5">
        <f>IF('Actual Game'!F105="","",'Actual Game'!F105)</f>
      </c>
      <c r="O105" s="5">
        <f>IF('App Log'!F105="","",'App Log'!F105)</f>
      </c>
      <c r="P105" s="5">
        <f>IF(AND('Actual Game'!F105="",'App Log'!F105=""),"",IF(TRIM('Actual Game'!F105&amp;"")=TRIM('App Log'!F105&amp;""),"MATCH","DIFF"))</f>
      </c>
      <c r="Q105" s="5">
        <f>IF('Actual Game'!I105="","",'Actual Game'!I105)</f>
      </c>
      <c r="R105" s="5">
        <f>IF('App Log'!I105="","",'App Log'!I105)</f>
      </c>
      <c r="S105" s="5">
        <f>IF(AND('Actual Game'!I105="",'App Log'!I105=""),"",IF(TRIM('Actual Game'!I105&amp;"")=TRIM('App Log'!I105&amp;""),"MATCH","DIFF"))</f>
      </c>
      <c r="T105" s="5">
        <f>IF('Actual Game'!H105="","",'Actual Game'!H105)</f>
      </c>
      <c r="U105" s="5">
        <f>IF('App Log'!H105="","",'App Log'!H105)</f>
      </c>
      <c r="V105" s="5">
        <f>IF(AND('Actual Game'!H105="",'App Log'!H105=""),"",IF(TRIM('Actual Game'!H105&amp;"")=TRIM('App Log'!H105&amp;""),"MATCH","DIFF"))</f>
      </c>
      <c r="W105" s="5">
        <f>IF('Actual Game'!J105="","",'Actual Game'!J105)</f>
      </c>
      <c r="X105" s="5">
        <f>IF('App Log'!J105="","",'App Log'!J105)</f>
      </c>
      <c r="Y105" s="5">
        <f>IF(AND('Actual Game'!J105="",'App Log'!J105=""),"",IF(TRIM('Actual Game'!J105&amp;"")=TRIM('App Log'!J105&amp;""),"MATCH","DIFF"))</f>
      </c>
      <c r="Z105" s="5">
        <f>IF('Actual Game'!K105="","",'Actual Game'!K105)</f>
      </c>
      <c r="AA105" s="5">
        <f>IF('App Log'!K105="","",'App Log'!K105)</f>
      </c>
      <c r="AB105" s="5">
        <f>IF(AND('Actual Game'!K105="",'App Log'!K105=""),"",IF(TRIM('Actual Game'!K105&amp;"")=TRIM('App Log'!K105&amp;""),"MATCH","DIFF"))</f>
      </c>
      <c r="AC105" s="5">
        <f>IF(AND('Actual Game'!A105="",'App Log'!A105=""),"",IF(COUNTIF(D105:AB105,"DIFF")=0,"MATCH","CHECK"))</f>
      </c>
    </row>
    <row r="106" ht="19" customHeight="1">
      <c r="A106" s="5"/>
      <c r="B106" s="5">
        <f>IF('Actual Game'!B106="","",'Actual Game'!B106)</f>
      </c>
      <c r="C106" s="5">
        <f>IF('App Log'!B106="","",'App Log'!B106)</f>
      </c>
      <c r="D106" s="5">
        <f>IF(AND('Actual Game'!B106="",'App Log'!B106=""),"",IF(TRIM('Actual Game'!B106&amp;"")=TRIM('App Log'!B106&amp;""),"MATCH","DIFF"))</f>
      </c>
      <c r="E106" s="5">
        <f>IF('Actual Game'!C106="","",'Actual Game'!C106)</f>
      </c>
      <c r="F106" s="5">
        <f>IF('App Log'!C106="","",'App Log'!C106)</f>
      </c>
      <c r="G106" s="5">
        <f>IF(AND('Actual Game'!C106="",'App Log'!C106=""),"",IF(TRIM('Actual Game'!C106&amp;"")=TRIM('App Log'!C106&amp;""),"MATCH","DIFF"))</f>
      </c>
      <c r="H106" s="5">
        <f>IF('Actual Game'!D106="","",'Actual Game'!D106)</f>
      </c>
      <c r="I106" s="5">
        <f>IF('App Log'!D106="","",'App Log'!D106)</f>
      </c>
      <c r="J106" s="5">
        <f>IF(AND('Actual Game'!D106="",'App Log'!D106=""),"",IF(TRIM('Actual Game'!D106&amp;"")=TRIM('App Log'!D106&amp;""),"MATCH","DIFF"))</f>
      </c>
      <c r="K106" s="5">
        <f>IF('Actual Game'!E106="","",'Actual Game'!E106)</f>
      </c>
      <c r="L106" s="5">
        <f>IF('App Log'!E106="","",'App Log'!E106)</f>
      </c>
      <c r="M106" s="5">
        <f>IF(AND('Actual Game'!E106="",'App Log'!E106=""),"",IF(TRIM('Actual Game'!E106&amp;"")=TRIM('App Log'!E106&amp;""),"MATCH","DIFF"))</f>
      </c>
      <c r="N106" s="5">
        <f>IF('Actual Game'!F106="","",'Actual Game'!F106)</f>
      </c>
      <c r="O106" s="5">
        <f>IF('App Log'!F106="","",'App Log'!F106)</f>
      </c>
      <c r="P106" s="5">
        <f>IF(AND('Actual Game'!F106="",'App Log'!F106=""),"",IF(TRIM('Actual Game'!F106&amp;"")=TRIM('App Log'!F106&amp;""),"MATCH","DIFF"))</f>
      </c>
      <c r="Q106" s="5">
        <f>IF('Actual Game'!I106="","",'Actual Game'!I106)</f>
      </c>
      <c r="R106" s="5">
        <f>IF('App Log'!I106="","",'App Log'!I106)</f>
      </c>
      <c r="S106" s="5">
        <f>IF(AND('Actual Game'!I106="",'App Log'!I106=""),"",IF(TRIM('Actual Game'!I106&amp;"")=TRIM('App Log'!I106&amp;""),"MATCH","DIFF"))</f>
      </c>
      <c r="T106" s="5">
        <f>IF('Actual Game'!H106="","",'Actual Game'!H106)</f>
      </c>
      <c r="U106" s="5">
        <f>IF('App Log'!H106="","",'App Log'!H106)</f>
      </c>
      <c r="V106" s="5">
        <f>IF(AND('Actual Game'!H106="",'App Log'!H106=""),"",IF(TRIM('Actual Game'!H106&amp;"")=TRIM('App Log'!H106&amp;""),"MATCH","DIFF"))</f>
      </c>
      <c r="W106" s="5">
        <f>IF('Actual Game'!J106="","",'Actual Game'!J106)</f>
      </c>
      <c r="X106" s="5">
        <f>IF('App Log'!J106="","",'App Log'!J106)</f>
      </c>
      <c r="Y106" s="5">
        <f>IF(AND('Actual Game'!J106="",'App Log'!J106=""),"",IF(TRIM('Actual Game'!J106&amp;"")=TRIM('App Log'!J106&amp;""),"MATCH","DIFF"))</f>
      </c>
      <c r="Z106" s="5">
        <f>IF('Actual Game'!K106="","",'Actual Game'!K106)</f>
      </c>
      <c r="AA106" s="5">
        <f>IF('App Log'!K106="","",'App Log'!K106)</f>
      </c>
      <c r="AB106" s="5">
        <f>IF(AND('Actual Game'!K106="",'App Log'!K106=""),"",IF(TRIM('Actual Game'!K106&amp;"")=TRIM('App Log'!K106&amp;""),"MATCH","DIFF"))</f>
      </c>
      <c r="AC106" s="5">
        <f>IF(AND('Actual Game'!A106="",'App Log'!A106=""),"",IF(COUNTIF(D106:AB106,"DIFF")=0,"MATCH","CHECK"))</f>
      </c>
    </row>
    <row r="107" ht="19" customHeight="1">
      <c r="A107" s="5"/>
      <c r="B107" s="5">
        <f>IF('Actual Game'!B107="","",'Actual Game'!B107)</f>
      </c>
      <c r="C107" s="5">
        <f>IF('App Log'!B107="","",'App Log'!B107)</f>
      </c>
      <c r="D107" s="5">
        <f>IF(AND('Actual Game'!B107="",'App Log'!B107=""),"",IF(TRIM('Actual Game'!B107&amp;"")=TRIM('App Log'!B107&amp;""),"MATCH","DIFF"))</f>
      </c>
      <c r="E107" s="5">
        <f>IF('Actual Game'!C107="","",'Actual Game'!C107)</f>
      </c>
      <c r="F107" s="5">
        <f>IF('App Log'!C107="","",'App Log'!C107)</f>
      </c>
      <c r="G107" s="5">
        <f>IF(AND('Actual Game'!C107="",'App Log'!C107=""),"",IF(TRIM('Actual Game'!C107&amp;"")=TRIM('App Log'!C107&amp;""),"MATCH","DIFF"))</f>
      </c>
      <c r="H107" s="5">
        <f>IF('Actual Game'!D107="","",'Actual Game'!D107)</f>
      </c>
      <c r="I107" s="5">
        <f>IF('App Log'!D107="","",'App Log'!D107)</f>
      </c>
      <c r="J107" s="5">
        <f>IF(AND('Actual Game'!D107="",'App Log'!D107=""),"",IF(TRIM('Actual Game'!D107&amp;"")=TRIM('App Log'!D107&amp;""),"MATCH","DIFF"))</f>
      </c>
      <c r="K107" s="5">
        <f>IF('Actual Game'!E107="","",'Actual Game'!E107)</f>
      </c>
      <c r="L107" s="5">
        <f>IF('App Log'!E107="","",'App Log'!E107)</f>
      </c>
      <c r="M107" s="5">
        <f>IF(AND('Actual Game'!E107="",'App Log'!E107=""),"",IF(TRIM('Actual Game'!E107&amp;"")=TRIM('App Log'!E107&amp;""),"MATCH","DIFF"))</f>
      </c>
      <c r="N107" s="5">
        <f>IF('Actual Game'!F107="","",'Actual Game'!F107)</f>
      </c>
      <c r="O107" s="5">
        <f>IF('App Log'!F107="","",'App Log'!F107)</f>
      </c>
      <c r="P107" s="5">
        <f>IF(AND('Actual Game'!F107="",'App Log'!F107=""),"",IF(TRIM('Actual Game'!F107&amp;"")=TRIM('App Log'!F107&amp;""),"MATCH","DIFF"))</f>
      </c>
      <c r="Q107" s="5">
        <f>IF('Actual Game'!I107="","",'Actual Game'!I107)</f>
      </c>
      <c r="R107" s="5">
        <f>IF('App Log'!I107="","",'App Log'!I107)</f>
      </c>
      <c r="S107" s="5">
        <f>IF(AND('Actual Game'!I107="",'App Log'!I107=""),"",IF(TRIM('Actual Game'!I107&amp;"")=TRIM('App Log'!I107&amp;""),"MATCH","DIFF"))</f>
      </c>
      <c r="T107" s="5">
        <f>IF('Actual Game'!H107="","",'Actual Game'!H107)</f>
      </c>
      <c r="U107" s="5">
        <f>IF('App Log'!H107="","",'App Log'!H107)</f>
      </c>
      <c r="V107" s="5">
        <f>IF(AND('Actual Game'!H107="",'App Log'!H107=""),"",IF(TRIM('Actual Game'!H107&amp;"")=TRIM('App Log'!H107&amp;""),"MATCH","DIFF"))</f>
      </c>
      <c r="W107" s="5">
        <f>IF('Actual Game'!J107="","",'Actual Game'!J107)</f>
      </c>
      <c r="X107" s="5">
        <f>IF('App Log'!J107="","",'App Log'!J107)</f>
      </c>
      <c r="Y107" s="5">
        <f>IF(AND('Actual Game'!J107="",'App Log'!J107=""),"",IF(TRIM('Actual Game'!J107&amp;"")=TRIM('App Log'!J107&amp;""),"MATCH","DIFF"))</f>
      </c>
      <c r="Z107" s="5">
        <f>IF('Actual Game'!K107="","",'Actual Game'!K107)</f>
      </c>
      <c r="AA107" s="5">
        <f>IF('App Log'!K107="","",'App Log'!K107)</f>
      </c>
      <c r="AB107" s="5">
        <f>IF(AND('Actual Game'!K107="",'App Log'!K107=""),"",IF(TRIM('Actual Game'!K107&amp;"")=TRIM('App Log'!K107&amp;""),"MATCH","DIFF"))</f>
      </c>
      <c r="AC107" s="5">
        <f>IF(AND('Actual Game'!A107="",'App Log'!A107=""),"",IF(COUNTIF(D107:AB107,"DIFF")=0,"MATCH","CHECK"))</f>
      </c>
    </row>
    <row r="108" ht="19" customHeight="1">
      <c r="A108" s="5"/>
      <c r="B108" s="5">
        <f>IF('Actual Game'!B108="","",'Actual Game'!B108)</f>
      </c>
      <c r="C108" s="5">
        <f>IF('App Log'!B108="","",'App Log'!B108)</f>
      </c>
      <c r="D108" s="5">
        <f>IF(AND('Actual Game'!B108="",'App Log'!B108=""),"",IF(TRIM('Actual Game'!B108&amp;"")=TRIM('App Log'!B108&amp;""),"MATCH","DIFF"))</f>
      </c>
      <c r="E108" s="5">
        <f>IF('Actual Game'!C108="","",'Actual Game'!C108)</f>
      </c>
      <c r="F108" s="5">
        <f>IF('App Log'!C108="","",'App Log'!C108)</f>
      </c>
      <c r="G108" s="5">
        <f>IF(AND('Actual Game'!C108="",'App Log'!C108=""),"",IF(TRIM('Actual Game'!C108&amp;"")=TRIM('App Log'!C108&amp;""),"MATCH","DIFF"))</f>
      </c>
      <c r="H108" s="5">
        <f>IF('Actual Game'!D108="","",'Actual Game'!D108)</f>
      </c>
      <c r="I108" s="5">
        <f>IF('App Log'!D108="","",'App Log'!D108)</f>
      </c>
      <c r="J108" s="5">
        <f>IF(AND('Actual Game'!D108="",'App Log'!D108=""),"",IF(TRIM('Actual Game'!D108&amp;"")=TRIM('App Log'!D108&amp;""),"MATCH","DIFF"))</f>
      </c>
      <c r="K108" s="5">
        <f>IF('Actual Game'!E108="","",'Actual Game'!E108)</f>
      </c>
      <c r="L108" s="5">
        <f>IF('App Log'!E108="","",'App Log'!E108)</f>
      </c>
      <c r="M108" s="5">
        <f>IF(AND('Actual Game'!E108="",'App Log'!E108=""),"",IF(TRIM('Actual Game'!E108&amp;"")=TRIM('App Log'!E108&amp;""),"MATCH","DIFF"))</f>
      </c>
      <c r="N108" s="5">
        <f>IF('Actual Game'!F108="","",'Actual Game'!F108)</f>
      </c>
      <c r="O108" s="5">
        <f>IF('App Log'!F108="","",'App Log'!F108)</f>
      </c>
      <c r="P108" s="5">
        <f>IF(AND('Actual Game'!F108="",'App Log'!F108=""),"",IF(TRIM('Actual Game'!F108&amp;"")=TRIM('App Log'!F108&amp;""),"MATCH","DIFF"))</f>
      </c>
      <c r="Q108" s="5">
        <f>IF('Actual Game'!I108="","",'Actual Game'!I108)</f>
      </c>
      <c r="R108" s="5">
        <f>IF('App Log'!I108="","",'App Log'!I108)</f>
      </c>
      <c r="S108" s="5">
        <f>IF(AND('Actual Game'!I108="",'App Log'!I108=""),"",IF(TRIM('Actual Game'!I108&amp;"")=TRIM('App Log'!I108&amp;""),"MATCH","DIFF"))</f>
      </c>
      <c r="T108" s="5">
        <f>IF('Actual Game'!H108="","",'Actual Game'!H108)</f>
      </c>
      <c r="U108" s="5">
        <f>IF('App Log'!H108="","",'App Log'!H108)</f>
      </c>
      <c r="V108" s="5">
        <f>IF(AND('Actual Game'!H108="",'App Log'!H108=""),"",IF(TRIM('Actual Game'!H108&amp;"")=TRIM('App Log'!H108&amp;""),"MATCH","DIFF"))</f>
      </c>
      <c r="W108" s="5">
        <f>IF('Actual Game'!J108="","",'Actual Game'!J108)</f>
      </c>
      <c r="X108" s="5">
        <f>IF('App Log'!J108="","",'App Log'!J108)</f>
      </c>
      <c r="Y108" s="5">
        <f>IF(AND('Actual Game'!J108="",'App Log'!J108=""),"",IF(TRIM('Actual Game'!J108&amp;"")=TRIM('App Log'!J108&amp;""),"MATCH","DIFF"))</f>
      </c>
      <c r="Z108" s="5">
        <f>IF('Actual Game'!K108="","",'Actual Game'!K108)</f>
      </c>
      <c r="AA108" s="5">
        <f>IF('App Log'!K108="","",'App Log'!K108)</f>
      </c>
      <c r="AB108" s="5">
        <f>IF(AND('Actual Game'!K108="",'App Log'!K108=""),"",IF(TRIM('Actual Game'!K108&amp;"")=TRIM('App Log'!K108&amp;""),"MATCH","DIFF"))</f>
      </c>
      <c r="AC108" s="5">
        <f>IF(AND('Actual Game'!A108="",'App Log'!A108=""),"",IF(COUNTIF(D108:AB108,"DIFF")=0,"MATCH","CHECK"))</f>
      </c>
    </row>
    <row r="109" ht="19" customHeight="1">
      <c r="A109" s="5"/>
      <c r="B109" s="5">
        <f>IF('Actual Game'!B109="","",'Actual Game'!B109)</f>
      </c>
      <c r="C109" s="5">
        <f>IF('App Log'!B109="","",'App Log'!B109)</f>
      </c>
      <c r="D109" s="5">
        <f>IF(AND('Actual Game'!B109="",'App Log'!B109=""),"",IF(TRIM('Actual Game'!B109&amp;"")=TRIM('App Log'!B109&amp;""),"MATCH","DIFF"))</f>
      </c>
      <c r="E109" s="5">
        <f>IF('Actual Game'!C109="","",'Actual Game'!C109)</f>
      </c>
      <c r="F109" s="5">
        <f>IF('App Log'!C109="","",'App Log'!C109)</f>
      </c>
      <c r="G109" s="5">
        <f>IF(AND('Actual Game'!C109="",'App Log'!C109=""),"",IF(TRIM('Actual Game'!C109&amp;"")=TRIM('App Log'!C109&amp;""),"MATCH","DIFF"))</f>
      </c>
      <c r="H109" s="5">
        <f>IF('Actual Game'!D109="","",'Actual Game'!D109)</f>
      </c>
      <c r="I109" s="5">
        <f>IF('App Log'!D109="","",'App Log'!D109)</f>
      </c>
      <c r="J109" s="5">
        <f>IF(AND('Actual Game'!D109="",'App Log'!D109=""),"",IF(TRIM('Actual Game'!D109&amp;"")=TRIM('App Log'!D109&amp;""),"MATCH","DIFF"))</f>
      </c>
      <c r="K109" s="5">
        <f>IF('Actual Game'!E109="","",'Actual Game'!E109)</f>
      </c>
      <c r="L109" s="5">
        <f>IF('App Log'!E109="","",'App Log'!E109)</f>
      </c>
      <c r="M109" s="5">
        <f>IF(AND('Actual Game'!E109="",'App Log'!E109=""),"",IF(TRIM('Actual Game'!E109&amp;"")=TRIM('App Log'!E109&amp;""),"MATCH","DIFF"))</f>
      </c>
      <c r="N109" s="5">
        <f>IF('Actual Game'!F109="","",'Actual Game'!F109)</f>
      </c>
      <c r="O109" s="5">
        <f>IF('App Log'!F109="","",'App Log'!F109)</f>
      </c>
      <c r="P109" s="5">
        <f>IF(AND('Actual Game'!F109="",'App Log'!F109=""),"",IF(TRIM('Actual Game'!F109&amp;"")=TRIM('App Log'!F109&amp;""),"MATCH","DIFF"))</f>
      </c>
      <c r="Q109" s="5">
        <f>IF('Actual Game'!I109="","",'Actual Game'!I109)</f>
      </c>
      <c r="R109" s="5">
        <f>IF('App Log'!I109="","",'App Log'!I109)</f>
      </c>
      <c r="S109" s="5">
        <f>IF(AND('Actual Game'!I109="",'App Log'!I109=""),"",IF(TRIM('Actual Game'!I109&amp;"")=TRIM('App Log'!I109&amp;""),"MATCH","DIFF"))</f>
      </c>
      <c r="T109" s="5">
        <f>IF('Actual Game'!H109="","",'Actual Game'!H109)</f>
      </c>
      <c r="U109" s="5">
        <f>IF('App Log'!H109="","",'App Log'!H109)</f>
      </c>
      <c r="V109" s="5">
        <f>IF(AND('Actual Game'!H109="",'App Log'!H109=""),"",IF(TRIM('Actual Game'!H109&amp;"")=TRIM('App Log'!H109&amp;""),"MATCH","DIFF"))</f>
      </c>
      <c r="W109" s="5">
        <f>IF('Actual Game'!J109="","",'Actual Game'!J109)</f>
      </c>
      <c r="X109" s="5">
        <f>IF('App Log'!J109="","",'App Log'!J109)</f>
      </c>
      <c r="Y109" s="5">
        <f>IF(AND('Actual Game'!J109="",'App Log'!J109=""),"",IF(TRIM('Actual Game'!J109&amp;"")=TRIM('App Log'!J109&amp;""),"MATCH","DIFF"))</f>
      </c>
      <c r="Z109" s="5">
        <f>IF('Actual Game'!K109="","",'Actual Game'!K109)</f>
      </c>
      <c r="AA109" s="5">
        <f>IF('App Log'!K109="","",'App Log'!K109)</f>
      </c>
      <c r="AB109" s="5">
        <f>IF(AND('Actual Game'!K109="",'App Log'!K109=""),"",IF(TRIM('Actual Game'!K109&amp;"")=TRIM('App Log'!K109&amp;""),"MATCH","DIFF"))</f>
      </c>
      <c r="AC109" s="5">
        <f>IF(AND('Actual Game'!A109="",'App Log'!A109=""),"",IF(COUNTIF(D109:AB109,"DIFF")=0,"MATCH","CHECK"))</f>
      </c>
    </row>
    <row r="110" ht="19" customHeight="1">
      <c r="A110" s="5"/>
      <c r="B110" s="5">
        <f>IF('Actual Game'!B110="","",'Actual Game'!B110)</f>
      </c>
      <c r="C110" s="5">
        <f>IF('App Log'!B110="","",'App Log'!B110)</f>
      </c>
      <c r="D110" s="5">
        <f>IF(AND('Actual Game'!B110="",'App Log'!B110=""),"",IF(TRIM('Actual Game'!B110&amp;"")=TRIM('App Log'!B110&amp;""),"MATCH","DIFF"))</f>
      </c>
      <c r="E110" s="5">
        <f>IF('Actual Game'!C110="","",'Actual Game'!C110)</f>
      </c>
      <c r="F110" s="5">
        <f>IF('App Log'!C110="","",'App Log'!C110)</f>
      </c>
      <c r="G110" s="5">
        <f>IF(AND('Actual Game'!C110="",'App Log'!C110=""),"",IF(TRIM('Actual Game'!C110&amp;"")=TRIM('App Log'!C110&amp;""),"MATCH","DIFF"))</f>
      </c>
      <c r="H110" s="5">
        <f>IF('Actual Game'!D110="","",'Actual Game'!D110)</f>
      </c>
      <c r="I110" s="5">
        <f>IF('App Log'!D110="","",'App Log'!D110)</f>
      </c>
      <c r="J110" s="5">
        <f>IF(AND('Actual Game'!D110="",'App Log'!D110=""),"",IF(TRIM('Actual Game'!D110&amp;"")=TRIM('App Log'!D110&amp;""),"MATCH","DIFF"))</f>
      </c>
      <c r="K110" s="5">
        <f>IF('Actual Game'!E110="","",'Actual Game'!E110)</f>
      </c>
      <c r="L110" s="5">
        <f>IF('App Log'!E110="","",'App Log'!E110)</f>
      </c>
      <c r="M110" s="5">
        <f>IF(AND('Actual Game'!E110="",'App Log'!E110=""),"",IF(TRIM('Actual Game'!E110&amp;"")=TRIM('App Log'!E110&amp;""),"MATCH","DIFF"))</f>
      </c>
      <c r="N110" s="5">
        <f>IF('Actual Game'!F110="","",'Actual Game'!F110)</f>
      </c>
      <c r="O110" s="5">
        <f>IF('App Log'!F110="","",'App Log'!F110)</f>
      </c>
      <c r="P110" s="5">
        <f>IF(AND('Actual Game'!F110="",'App Log'!F110=""),"",IF(TRIM('Actual Game'!F110&amp;"")=TRIM('App Log'!F110&amp;""),"MATCH","DIFF"))</f>
      </c>
      <c r="Q110" s="5">
        <f>IF('Actual Game'!I110="","",'Actual Game'!I110)</f>
      </c>
      <c r="R110" s="5">
        <f>IF('App Log'!I110="","",'App Log'!I110)</f>
      </c>
      <c r="S110" s="5">
        <f>IF(AND('Actual Game'!I110="",'App Log'!I110=""),"",IF(TRIM('Actual Game'!I110&amp;"")=TRIM('App Log'!I110&amp;""),"MATCH","DIFF"))</f>
      </c>
      <c r="T110" s="5">
        <f>IF('Actual Game'!H110="","",'Actual Game'!H110)</f>
      </c>
      <c r="U110" s="5">
        <f>IF('App Log'!H110="","",'App Log'!H110)</f>
      </c>
      <c r="V110" s="5">
        <f>IF(AND('Actual Game'!H110="",'App Log'!H110=""),"",IF(TRIM('Actual Game'!H110&amp;"")=TRIM('App Log'!H110&amp;""),"MATCH","DIFF"))</f>
      </c>
      <c r="W110" s="5">
        <f>IF('Actual Game'!J110="","",'Actual Game'!J110)</f>
      </c>
      <c r="X110" s="5">
        <f>IF('App Log'!J110="","",'App Log'!J110)</f>
      </c>
      <c r="Y110" s="5">
        <f>IF(AND('Actual Game'!J110="",'App Log'!J110=""),"",IF(TRIM('Actual Game'!J110&amp;"")=TRIM('App Log'!J110&amp;""),"MATCH","DIFF"))</f>
      </c>
      <c r="Z110" s="5">
        <f>IF('Actual Game'!K110="","",'Actual Game'!K110)</f>
      </c>
      <c r="AA110" s="5">
        <f>IF('App Log'!K110="","",'App Log'!K110)</f>
      </c>
      <c r="AB110" s="5">
        <f>IF(AND('Actual Game'!K110="",'App Log'!K110=""),"",IF(TRIM('Actual Game'!K110&amp;"")=TRIM('App Log'!K110&amp;""),"MATCH","DIFF"))</f>
      </c>
      <c r="AC110" s="5">
        <f>IF(AND('Actual Game'!A110="",'App Log'!A110=""),"",IF(COUNTIF(D110:AB110,"DIFF")=0,"MATCH","CHECK"))</f>
      </c>
    </row>
    <row r="111" ht="19" customHeight="1">
      <c r="A111" s="5"/>
      <c r="B111" s="5">
        <f>IF('Actual Game'!B111="","",'Actual Game'!B111)</f>
      </c>
      <c r="C111" s="5">
        <f>IF('App Log'!B111="","",'App Log'!B111)</f>
      </c>
      <c r="D111" s="5">
        <f>IF(AND('Actual Game'!B111="",'App Log'!B111=""),"",IF(TRIM('Actual Game'!B111&amp;"")=TRIM('App Log'!B111&amp;""),"MATCH","DIFF"))</f>
      </c>
      <c r="E111" s="5">
        <f>IF('Actual Game'!C111="","",'Actual Game'!C111)</f>
      </c>
      <c r="F111" s="5">
        <f>IF('App Log'!C111="","",'App Log'!C111)</f>
      </c>
      <c r="G111" s="5">
        <f>IF(AND('Actual Game'!C111="",'App Log'!C111=""),"",IF(TRIM('Actual Game'!C111&amp;"")=TRIM('App Log'!C111&amp;""),"MATCH","DIFF"))</f>
      </c>
      <c r="H111" s="5">
        <f>IF('Actual Game'!D111="","",'Actual Game'!D111)</f>
      </c>
      <c r="I111" s="5">
        <f>IF('App Log'!D111="","",'App Log'!D111)</f>
      </c>
      <c r="J111" s="5">
        <f>IF(AND('Actual Game'!D111="",'App Log'!D111=""),"",IF(TRIM('Actual Game'!D111&amp;"")=TRIM('App Log'!D111&amp;""),"MATCH","DIFF"))</f>
      </c>
      <c r="K111" s="5">
        <f>IF('Actual Game'!E111="","",'Actual Game'!E111)</f>
      </c>
      <c r="L111" s="5">
        <f>IF('App Log'!E111="","",'App Log'!E111)</f>
      </c>
      <c r="M111" s="5">
        <f>IF(AND('Actual Game'!E111="",'App Log'!E111=""),"",IF(TRIM('Actual Game'!E111&amp;"")=TRIM('App Log'!E111&amp;""),"MATCH","DIFF"))</f>
      </c>
      <c r="N111" s="5">
        <f>IF('Actual Game'!F111="","",'Actual Game'!F111)</f>
      </c>
      <c r="O111" s="5">
        <f>IF('App Log'!F111="","",'App Log'!F111)</f>
      </c>
      <c r="P111" s="5">
        <f>IF(AND('Actual Game'!F111="",'App Log'!F111=""),"",IF(TRIM('Actual Game'!F111&amp;"")=TRIM('App Log'!F111&amp;""),"MATCH","DIFF"))</f>
      </c>
      <c r="Q111" s="5">
        <f>IF('Actual Game'!I111="","",'Actual Game'!I111)</f>
      </c>
      <c r="R111" s="5">
        <f>IF('App Log'!I111="","",'App Log'!I111)</f>
      </c>
      <c r="S111" s="5">
        <f>IF(AND('Actual Game'!I111="",'App Log'!I111=""),"",IF(TRIM('Actual Game'!I111&amp;"")=TRIM('App Log'!I111&amp;""),"MATCH","DIFF"))</f>
      </c>
      <c r="T111" s="5">
        <f>IF('Actual Game'!H111="","",'Actual Game'!H111)</f>
      </c>
      <c r="U111" s="5">
        <f>IF('App Log'!H111="","",'App Log'!H111)</f>
      </c>
      <c r="V111" s="5">
        <f>IF(AND('Actual Game'!H111="",'App Log'!H111=""),"",IF(TRIM('Actual Game'!H111&amp;"")=TRIM('App Log'!H111&amp;""),"MATCH","DIFF"))</f>
      </c>
      <c r="W111" s="5">
        <f>IF('Actual Game'!J111="","",'Actual Game'!J111)</f>
      </c>
      <c r="X111" s="5">
        <f>IF('App Log'!J111="","",'App Log'!J111)</f>
      </c>
      <c r="Y111" s="5">
        <f>IF(AND('Actual Game'!J111="",'App Log'!J111=""),"",IF(TRIM('Actual Game'!J111&amp;"")=TRIM('App Log'!J111&amp;""),"MATCH","DIFF"))</f>
      </c>
      <c r="Z111" s="5">
        <f>IF('Actual Game'!K111="","",'Actual Game'!K111)</f>
      </c>
      <c r="AA111" s="5">
        <f>IF('App Log'!K111="","",'App Log'!K111)</f>
      </c>
      <c r="AB111" s="5">
        <f>IF(AND('Actual Game'!K111="",'App Log'!K111=""),"",IF(TRIM('Actual Game'!K111&amp;"")=TRIM('App Log'!K111&amp;""),"MATCH","DIFF"))</f>
      </c>
      <c r="AC111" s="5">
        <f>IF(AND('Actual Game'!A111="",'App Log'!A111=""),"",IF(COUNTIF(D111:AB111,"DIFF")=0,"MATCH","CHECK"))</f>
      </c>
    </row>
    <row r="112" ht="19" customHeight="1">
      <c r="A112" s="5"/>
      <c r="B112" s="5">
        <f>IF('Actual Game'!B112="","",'Actual Game'!B112)</f>
      </c>
      <c r="C112" s="5">
        <f>IF('App Log'!B112="","",'App Log'!B112)</f>
      </c>
      <c r="D112" s="5">
        <f>IF(AND('Actual Game'!B112="",'App Log'!B112=""),"",IF(TRIM('Actual Game'!B112&amp;"")=TRIM('App Log'!B112&amp;""),"MATCH","DIFF"))</f>
      </c>
      <c r="E112" s="5">
        <f>IF('Actual Game'!C112="","",'Actual Game'!C112)</f>
      </c>
      <c r="F112" s="5">
        <f>IF('App Log'!C112="","",'App Log'!C112)</f>
      </c>
      <c r="G112" s="5">
        <f>IF(AND('Actual Game'!C112="",'App Log'!C112=""),"",IF(TRIM('Actual Game'!C112&amp;"")=TRIM('App Log'!C112&amp;""),"MATCH","DIFF"))</f>
      </c>
      <c r="H112" s="5">
        <f>IF('Actual Game'!D112="","",'Actual Game'!D112)</f>
      </c>
      <c r="I112" s="5">
        <f>IF('App Log'!D112="","",'App Log'!D112)</f>
      </c>
      <c r="J112" s="5">
        <f>IF(AND('Actual Game'!D112="",'App Log'!D112=""),"",IF(TRIM('Actual Game'!D112&amp;"")=TRIM('App Log'!D112&amp;""),"MATCH","DIFF"))</f>
      </c>
      <c r="K112" s="5">
        <f>IF('Actual Game'!E112="","",'Actual Game'!E112)</f>
      </c>
      <c r="L112" s="5">
        <f>IF('App Log'!E112="","",'App Log'!E112)</f>
      </c>
      <c r="M112" s="5">
        <f>IF(AND('Actual Game'!E112="",'App Log'!E112=""),"",IF(TRIM('Actual Game'!E112&amp;"")=TRIM('App Log'!E112&amp;""),"MATCH","DIFF"))</f>
      </c>
      <c r="N112" s="5">
        <f>IF('Actual Game'!F112="","",'Actual Game'!F112)</f>
      </c>
      <c r="O112" s="5">
        <f>IF('App Log'!F112="","",'App Log'!F112)</f>
      </c>
      <c r="P112" s="5">
        <f>IF(AND('Actual Game'!F112="",'App Log'!F112=""),"",IF(TRIM('Actual Game'!F112&amp;"")=TRIM('App Log'!F112&amp;""),"MATCH","DIFF"))</f>
      </c>
      <c r="Q112" s="5">
        <f>IF('Actual Game'!I112="","",'Actual Game'!I112)</f>
      </c>
      <c r="R112" s="5">
        <f>IF('App Log'!I112="","",'App Log'!I112)</f>
      </c>
      <c r="S112" s="5">
        <f>IF(AND('Actual Game'!I112="",'App Log'!I112=""),"",IF(TRIM('Actual Game'!I112&amp;"")=TRIM('App Log'!I112&amp;""),"MATCH","DIFF"))</f>
      </c>
      <c r="T112" s="5">
        <f>IF('Actual Game'!H112="","",'Actual Game'!H112)</f>
      </c>
      <c r="U112" s="5">
        <f>IF('App Log'!H112="","",'App Log'!H112)</f>
      </c>
      <c r="V112" s="5">
        <f>IF(AND('Actual Game'!H112="",'App Log'!H112=""),"",IF(TRIM('Actual Game'!H112&amp;"")=TRIM('App Log'!H112&amp;""),"MATCH","DIFF"))</f>
      </c>
      <c r="W112" s="5">
        <f>IF('Actual Game'!J112="","",'Actual Game'!J112)</f>
      </c>
      <c r="X112" s="5">
        <f>IF('App Log'!J112="","",'App Log'!J112)</f>
      </c>
      <c r="Y112" s="5">
        <f>IF(AND('Actual Game'!J112="",'App Log'!J112=""),"",IF(TRIM('Actual Game'!J112&amp;"")=TRIM('App Log'!J112&amp;""),"MATCH","DIFF"))</f>
      </c>
      <c r="Z112" s="5">
        <f>IF('Actual Game'!K112="","",'Actual Game'!K112)</f>
      </c>
      <c r="AA112" s="5">
        <f>IF('App Log'!K112="","",'App Log'!K112)</f>
      </c>
      <c r="AB112" s="5">
        <f>IF(AND('Actual Game'!K112="",'App Log'!K112=""),"",IF(TRIM('Actual Game'!K112&amp;"")=TRIM('App Log'!K112&amp;""),"MATCH","DIFF"))</f>
      </c>
      <c r="AC112" s="5">
        <f>IF(AND('Actual Game'!A112="",'App Log'!A112=""),"",IF(COUNTIF(D112:AB112,"DIFF")=0,"MATCH","CHECK"))</f>
      </c>
    </row>
    <row r="113" ht="19" customHeight="1">
      <c r="A113" s="5"/>
      <c r="B113" s="5">
        <f>IF('Actual Game'!B113="","",'Actual Game'!B113)</f>
      </c>
      <c r="C113" s="5">
        <f>IF('App Log'!B113="","",'App Log'!B113)</f>
      </c>
      <c r="D113" s="5">
        <f>IF(AND('Actual Game'!B113="",'App Log'!B113=""),"",IF(TRIM('Actual Game'!B113&amp;"")=TRIM('App Log'!B113&amp;""),"MATCH","DIFF"))</f>
      </c>
      <c r="E113" s="5">
        <f>IF('Actual Game'!C113="","",'Actual Game'!C113)</f>
      </c>
      <c r="F113" s="5">
        <f>IF('App Log'!C113="","",'App Log'!C113)</f>
      </c>
      <c r="G113" s="5">
        <f>IF(AND('Actual Game'!C113="",'App Log'!C113=""),"",IF(TRIM('Actual Game'!C113&amp;"")=TRIM('App Log'!C113&amp;""),"MATCH","DIFF"))</f>
      </c>
      <c r="H113" s="5">
        <f>IF('Actual Game'!D113="","",'Actual Game'!D113)</f>
      </c>
      <c r="I113" s="5">
        <f>IF('App Log'!D113="","",'App Log'!D113)</f>
      </c>
      <c r="J113" s="5">
        <f>IF(AND('Actual Game'!D113="",'App Log'!D113=""),"",IF(TRIM('Actual Game'!D113&amp;"")=TRIM('App Log'!D113&amp;""),"MATCH","DIFF"))</f>
      </c>
      <c r="K113" s="5">
        <f>IF('Actual Game'!E113="","",'Actual Game'!E113)</f>
      </c>
      <c r="L113" s="5">
        <f>IF('App Log'!E113="","",'App Log'!E113)</f>
      </c>
      <c r="M113" s="5">
        <f>IF(AND('Actual Game'!E113="",'App Log'!E113=""),"",IF(TRIM('Actual Game'!E113&amp;"")=TRIM('App Log'!E113&amp;""),"MATCH","DIFF"))</f>
      </c>
      <c r="N113" s="5">
        <f>IF('Actual Game'!F113="","",'Actual Game'!F113)</f>
      </c>
      <c r="O113" s="5">
        <f>IF('App Log'!F113="","",'App Log'!F113)</f>
      </c>
      <c r="P113" s="5">
        <f>IF(AND('Actual Game'!F113="",'App Log'!F113=""),"",IF(TRIM('Actual Game'!F113&amp;"")=TRIM('App Log'!F113&amp;""),"MATCH","DIFF"))</f>
      </c>
      <c r="Q113" s="5">
        <f>IF('Actual Game'!I113="","",'Actual Game'!I113)</f>
      </c>
      <c r="R113" s="5">
        <f>IF('App Log'!I113="","",'App Log'!I113)</f>
      </c>
      <c r="S113" s="5">
        <f>IF(AND('Actual Game'!I113="",'App Log'!I113=""),"",IF(TRIM('Actual Game'!I113&amp;"")=TRIM('App Log'!I113&amp;""),"MATCH","DIFF"))</f>
      </c>
      <c r="T113" s="5">
        <f>IF('Actual Game'!H113="","",'Actual Game'!H113)</f>
      </c>
      <c r="U113" s="5">
        <f>IF('App Log'!H113="","",'App Log'!H113)</f>
      </c>
      <c r="V113" s="5">
        <f>IF(AND('Actual Game'!H113="",'App Log'!H113=""),"",IF(TRIM('Actual Game'!H113&amp;"")=TRIM('App Log'!H113&amp;""),"MATCH","DIFF"))</f>
      </c>
      <c r="W113" s="5">
        <f>IF('Actual Game'!J113="","",'Actual Game'!J113)</f>
      </c>
      <c r="X113" s="5">
        <f>IF('App Log'!J113="","",'App Log'!J113)</f>
      </c>
      <c r="Y113" s="5">
        <f>IF(AND('Actual Game'!J113="",'App Log'!J113=""),"",IF(TRIM('Actual Game'!J113&amp;"")=TRIM('App Log'!J113&amp;""),"MATCH","DIFF"))</f>
      </c>
      <c r="Z113" s="5">
        <f>IF('Actual Game'!K113="","",'Actual Game'!K113)</f>
      </c>
      <c r="AA113" s="5">
        <f>IF('App Log'!K113="","",'App Log'!K113)</f>
      </c>
      <c r="AB113" s="5">
        <f>IF(AND('Actual Game'!K113="",'App Log'!K113=""),"",IF(TRIM('Actual Game'!K113&amp;"")=TRIM('App Log'!K113&amp;""),"MATCH","DIFF"))</f>
      </c>
      <c r="AC113" s="5">
        <f>IF(AND('Actual Game'!A113="",'App Log'!A113=""),"",IF(COUNTIF(D113:AB113,"DIFF")=0,"MATCH","CHECK"))</f>
      </c>
    </row>
    <row r="114" ht="19" customHeight="1">
      <c r="A114" s="5"/>
      <c r="B114" s="5">
        <f>IF('Actual Game'!B114="","",'Actual Game'!B114)</f>
      </c>
      <c r="C114" s="5">
        <f>IF('App Log'!B114="","",'App Log'!B114)</f>
      </c>
      <c r="D114" s="5">
        <f>IF(AND('Actual Game'!B114="",'App Log'!B114=""),"",IF(TRIM('Actual Game'!B114&amp;"")=TRIM('App Log'!B114&amp;""),"MATCH","DIFF"))</f>
      </c>
      <c r="E114" s="5">
        <f>IF('Actual Game'!C114="","",'Actual Game'!C114)</f>
      </c>
      <c r="F114" s="5">
        <f>IF('App Log'!C114="","",'App Log'!C114)</f>
      </c>
      <c r="G114" s="5">
        <f>IF(AND('Actual Game'!C114="",'App Log'!C114=""),"",IF(TRIM('Actual Game'!C114&amp;"")=TRIM('App Log'!C114&amp;""),"MATCH","DIFF"))</f>
      </c>
      <c r="H114" s="5">
        <f>IF('Actual Game'!D114="","",'Actual Game'!D114)</f>
      </c>
      <c r="I114" s="5">
        <f>IF('App Log'!D114="","",'App Log'!D114)</f>
      </c>
      <c r="J114" s="5">
        <f>IF(AND('Actual Game'!D114="",'App Log'!D114=""),"",IF(TRIM('Actual Game'!D114&amp;"")=TRIM('App Log'!D114&amp;""),"MATCH","DIFF"))</f>
      </c>
      <c r="K114" s="5">
        <f>IF('Actual Game'!E114="","",'Actual Game'!E114)</f>
      </c>
      <c r="L114" s="5">
        <f>IF('App Log'!E114="","",'App Log'!E114)</f>
      </c>
      <c r="M114" s="5">
        <f>IF(AND('Actual Game'!E114="",'App Log'!E114=""),"",IF(TRIM('Actual Game'!E114&amp;"")=TRIM('App Log'!E114&amp;""),"MATCH","DIFF"))</f>
      </c>
      <c r="N114" s="5">
        <f>IF('Actual Game'!F114="","",'Actual Game'!F114)</f>
      </c>
      <c r="O114" s="5">
        <f>IF('App Log'!F114="","",'App Log'!F114)</f>
      </c>
      <c r="P114" s="5">
        <f>IF(AND('Actual Game'!F114="",'App Log'!F114=""),"",IF(TRIM('Actual Game'!F114&amp;"")=TRIM('App Log'!F114&amp;""),"MATCH","DIFF"))</f>
      </c>
      <c r="Q114" s="5">
        <f>IF('Actual Game'!I114="","",'Actual Game'!I114)</f>
      </c>
      <c r="R114" s="5">
        <f>IF('App Log'!I114="","",'App Log'!I114)</f>
      </c>
      <c r="S114" s="5">
        <f>IF(AND('Actual Game'!I114="",'App Log'!I114=""),"",IF(TRIM('Actual Game'!I114&amp;"")=TRIM('App Log'!I114&amp;""),"MATCH","DIFF"))</f>
      </c>
      <c r="T114" s="5">
        <f>IF('Actual Game'!H114="","",'Actual Game'!H114)</f>
      </c>
      <c r="U114" s="5">
        <f>IF('App Log'!H114="","",'App Log'!H114)</f>
      </c>
      <c r="V114" s="5">
        <f>IF(AND('Actual Game'!H114="",'App Log'!H114=""),"",IF(TRIM('Actual Game'!H114&amp;"")=TRIM('App Log'!H114&amp;""),"MATCH","DIFF"))</f>
      </c>
      <c r="W114" s="5">
        <f>IF('Actual Game'!J114="","",'Actual Game'!J114)</f>
      </c>
      <c r="X114" s="5">
        <f>IF('App Log'!J114="","",'App Log'!J114)</f>
      </c>
      <c r="Y114" s="5">
        <f>IF(AND('Actual Game'!J114="",'App Log'!J114=""),"",IF(TRIM('Actual Game'!J114&amp;"")=TRIM('App Log'!J114&amp;""),"MATCH","DIFF"))</f>
      </c>
      <c r="Z114" s="5">
        <f>IF('Actual Game'!K114="","",'Actual Game'!K114)</f>
      </c>
      <c r="AA114" s="5">
        <f>IF('App Log'!K114="","",'App Log'!K114)</f>
      </c>
      <c r="AB114" s="5">
        <f>IF(AND('Actual Game'!K114="",'App Log'!K114=""),"",IF(TRIM('Actual Game'!K114&amp;"")=TRIM('App Log'!K114&amp;""),"MATCH","DIFF"))</f>
      </c>
      <c r="AC114" s="5">
        <f>IF(AND('Actual Game'!A114="",'App Log'!A114=""),"",IF(COUNTIF(D114:AB114,"DIFF")=0,"MATCH","CHECK"))</f>
      </c>
    </row>
    <row r="115" ht="19" customHeight="1">
      <c r="A115" s="5"/>
      <c r="B115" s="5">
        <f>IF('Actual Game'!B115="","",'Actual Game'!B115)</f>
      </c>
      <c r="C115" s="5">
        <f>IF('App Log'!B115="","",'App Log'!B115)</f>
      </c>
      <c r="D115" s="5">
        <f>IF(AND('Actual Game'!B115="",'App Log'!B115=""),"",IF(TRIM('Actual Game'!B115&amp;"")=TRIM('App Log'!B115&amp;""),"MATCH","DIFF"))</f>
      </c>
      <c r="E115" s="5">
        <f>IF('Actual Game'!C115="","",'Actual Game'!C115)</f>
      </c>
      <c r="F115" s="5">
        <f>IF('App Log'!C115="","",'App Log'!C115)</f>
      </c>
      <c r="G115" s="5">
        <f>IF(AND('Actual Game'!C115="",'App Log'!C115=""),"",IF(TRIM('Actual Game'!C115&amp;"")=TRIM('App Log'!C115&amp;""),"MATCH","DIFF"))</f>
      </c>
      <c r="H115" s="5">
        <f>IF('Actual Game'!D115="","",'Actual Game'!D115)</f>
      </c>
      <c r="I115" s="5">
        <f>IF('App Log'!D115="","",'App Log'!D115)</f>
      </c>
      <c r="J115" s="5">
        <f>IF(AND('Actual Game'!D115="",'App Log'!D115=""),"",IF(TRIM('Actual Game'!D115&amp;"")=TRIM('App Log'!D115&amp;""),"MATCH","DIFF"))</f>
      </c>
      <c r="K115" s="5">
        <f>IF('Actual Game'!E115="","",'Actual Game'!E115)</f>
      </c>
      <c r="L115" s="5">
        <f>IF('App Log'!E115="","",'App Log'!E115)</f>
      </c>
      <c r="M115" s="5">
        <f>IF(AND('Actual Game'!E115="",'App Log'!E115=""),"",IF(TRIM('Actual Game'!E115&amp;"")=TRIM('App Log'!E115&amp;""),"MATCH","DIFF"))</f>
      </c>
      <c r="N115" s="5">
        <f>IF('Actual Game'!F115="","",'Actual Game'!F115)</f>
      </c>
      <c r="O115" s="5">
        <f>IF('App Log'!F115="","",'App Log'!F115)</f>
      </c>
      <c r="P115" s="5">
        <f>IF(AND('Actual Game'!F115="",'App Log'!F115=""),"",IF(TRIM('Actual Game'!F115&amp;"")=TRIM('App Log'!F115&amp;""),"MATCH","DIFF"))</f>
      </c>
      <c r="Q115" s="5">
        <f>IF('Actual Game'!I115="","",'Actual Game'!I115)</f>
      </c>
      <c r="R115" s="5">
        <f>IF('App Log'!I115="","",'App Log'!I115)</f>
      </c>
      <c r="S115" s="5">
        <f>IF(AND('Actual Game'!I115="",'App Log'!I115=""),"",IF(TRIM('Actual Game'!I115&amp;"")=TRIM('App Log'!I115&amp;""),"MATCH","DIFF"))</f>
      </c>
      <c r="T115" s="5">
        <f>IF('Actual Game'!H115="","",'Actual Game'!H115)</f>
      </c>
      <c r="U115" s="5">
        <f>IF('App Log'!H115="","",'App Log'!H115)</f>
      </c>
      <c r="V115" s="5">
        <f>IF(AND('Actual Game'!H115="",'App Log'!H115=""),"",IF(TRIM('Actual Game'!H115&amp;"")=TRIM('App Log'!H115&amp;""),"MATCH","DIFF"))</f>
      </c>
      <c r="W115" s="5">
        <f>IF('Actual Game'!J115="","",'Actual Game'!J115)</f>
      </c>
      <c r="X115" s="5">
        <f>IF('App Log'!J115="","",'App Log'!J115)</f>
      </c>
      <c r="Y115" s="5">
        <f>IF(AND('Actual Game'!J115="",'App Log'!J115=""),"",IF(TRIM('Actual Game'!J115&amp;"")=TRIM('App Log'!J115&amp;""),"MATCH","DIFF"))</f>
      </c>
      <c r="Z115" s="5">
        <f>IF('Actual Game'!K115="","",'Actual Game'!K115)</f>
      </c>
      <c r="AA115" s="5">
        <f>IF('App Log'!K115="","",'App Log'!K115)</f>
      </c>
      <c r="AB115" s="5">
        <f>IF(AND('Actual Game'!K115="",'App Log'!K115=""),"",IF(TRIM('Actual Game'!K115&amp;"")=TRIM('App Log'!K115&amp;""),"MATCH","DIFF"))</f>
      </c>
      <c r="AC115" s="5">
        <f>IF(AND('Actual Game'!A115="",'App Log'!A115=""),"",IF(COUNTIF(D115:AB115,"DIFF")=0,"MATCH","CHECK"))</f>
      </c>
    </row>
    <row r="116" ht="19" customHeight="1">
      <c r="A116" s="5"/>
      <c r="B116" s="5">
        <f>IF('Actual Game'!B116="","",'Actual Game'!B116)</f>
      </c>
      <c r="C116" s="5">
        <f>IF('App Log'!B116="","",'App Log'!B116)</f>
      </c>
      <c r="D116" s="5">
        <f>IF(AND('Actual Game'!B116="",'App Log'!B116=""),"",IF(TRIM('Actual Game'!B116&amp;"")=TRIM('App Log'!B116&amp;""),"MATCH","DIFF"))</f>
      </c>
      <c r="E116" s="5">
        <f>IF('Actual Game'!C116="","",'Actual Game'!C116)</f>
      </c>
      <c r="F116" s="5">
        <f>IF('App Log'!C116="","",'App Log'!C116)</f>
      </c>
      <c r="G116" s="5">
        <f>IF(AND('Actual Game'!C116="",'App Log'!C116=""),"",IF(TRIM('Actual Game'!C116&amp;"")=TRIM('App Log'!C116&amp;""),"MATCH","DIFF"))</f>
      </c>
      <c r="H116" s="5">
        <f>IF('Actual Game'!D116="","",'Actual Game'!D116)</f>
      </c>
      <c r="I116" s="5">
        <f>IF('App Log'!D116="","",'App Log'!D116)</f>
      </c>
      <c r="J116" s="5">
        <f>IF(AND('Actual Game'!D116="",'App Log'!D116=""),"",IF(TRIM('Actual Game'!D116&amp;"")=TRIM('App Log'!D116&amp;""),"MATCH","DIFF"))</f>
      </c>
      <c r="K116" s="5">
        <f>IF('Actual Game'!E116="","",'Actual Game'!E116)</f>
      </c>
      <c r="L116" s="5">
        <f>IF('App Log'!E116="","",'App Log'!E116)</f>
      </c>
      <c r="M116" s="5">
        <f>IF(AND('Actual Game'!E116="",'App Log'!E116=""),"",IF(TRIM('Actual Game'!E116&amp;"")=TRIM('App Log'!E116&amp;""),"MATCH","DIFF"))</f>
      </c>
      <c r="N116" s="5">
        <f>IF('Actual Game'!F116="","",'Actual Game'!F116)</f>
      </c>
      <c r="O116" s="5">
        <f>IF('App Log'!F116="","",'App Log'!F116)</f>
      </c>
      <c r="P116" s="5">
        <f>IF(AND('Actual Game'!F116="",'App Log'!F116=""),"",IF(TRIM('Actual Game'!F116&amp;"")=TRIM('App Log'!F116&amp;""),"MATCH","DIFF"))</f>
      </c>
      <c r="Q116" s="5">
        <f>IF('Actual Game'!I116="","",'Actual Game'!I116)</f>
      </c>
      <c r="R116" s="5">
        <f>IF('App Log'!I116="","",'App Log'!I116)</f>
      </c>
      <c r="S116" s="5">
        <f>IF(AND('Actual Game'!I116="",'App Log'!I116=""),"",IF(TRIM('Actual Game'!I116&amp;"")=TRIM('App Log'!I116&amp;""),"MATCH","DIFF"))</f>
      </c>
      <c r="T116" s="5">
        <f>IF('Actual Game'!H116="","",'Actual Game'!H116)</f>
      </c>
      <c r="U116" s="5">
        <f>IF('App Log'!H116="","",'App Log'!H116)</f>
      </c>
      <c r="V116" s="5">
        <f>IF(AND('Actual Game'!H116="",'App Log'!H116=""),"",IF(TRIM('Actual Game'!H116&amp;"")=TRIM('App Log'!H116&amp;""),"MATCH","DIFF"))</f>
      </c>
      <c r="W116" s="5">
        <f>IF('Actual Game'!J116="","",'Actual Game'!J116)</f>
      </c>
      <c r="X116" s="5">
        <f>IF('App Log'!J116="","",'App Log'!J116)</f>
      </c>
      <c r="Y116" s="5">
        <f>IF(AND('Actual Game'!J116="",'App Log'!J116=""),"",IF(TRIM('Actual Game'!J116&amp;"")=TRIM('App Log'!J116&amp;""),"MATCH","DIFF"))</f>
      </c>
      <c r="Z116" s="5">
        <f>IF('Actual Game'!K116="","",'Actual Game'!K116)</f>
      </c>
      <c r="AA116" s="5">
        <f>IF('App Log'!K116="","",'App Log'!K116)</f>
      </c>
      <c r="AB116" s="5">
        <f>IF(AND('Actual Game'!K116="",'App Log'!K116=""),"",IF(TRIM('Actual Game'!K116&amp;"")=TRIM('App Log'!K116&amp;""),"MATCH","DIFF"))</f>
      </c>
      <c r="AC116" s="5">
        <f>IF(AND('Actual Game'!A116="",'App Log'!A116=""),"",IF(COUNTIF(D116:AB116,"DIFF")=0,"MATCH","CHECK"))</f>
      </c>
    </row>
    <row r="117" ht="19" customHeight="1">
      <c r="A117" s="5"/>
      <c r="B117" s="5">
        <f>IF('Actual Game'!B117="","",'Actual Game'!B117)</f>
      </c>
      <c r="C117" s="5">
        <f>IF('App Log'!B117="","",'App Log'!B117)</f>
      </c>
      <c r="D117" s="5">
        <f>IF(AND('Actual Game'!B117="",'App Log'!B117=""),"",IF(TRIM('Actual Game'!B117&amp;"")=TRIM('App Log'!B117&amp;""),"MATCH","DIFF"))</f>
      </c>
      <c r="E117" s="5">
        <f>IF('Actual Game'!C117="","",'Actual Game'!C117)</f>
      </c>
      <c r="F117" s="5">
        <f>IF('App Log'!C117="","",'App Log'!C117)</f>
      </c>
      <c r="G117" s="5">
        <f>IF(AND('Actual Game'!C117="",'App Log'!C117=""),"",IF(TRIM('Actual Game'!C117&amp;"")=TRIM('App Log'!C117&amp;""),"MATCH","DIFF"))</f>
      </c>
      <c r="H117" s="5">
        <f>IF('Actual Game'!D117="","",'Actual Game'!D117)</f>
      </c>
      <c r="I117" s="5">
        <f>IF('App Log'!D117="","",'App Log'!D117)</f>
      </c>
      <c r="J117" s="5">
        <f>IF(AND('Actual Game'!D117="",'App Log'!D117=""),"",IF(TRIM('Actual Game'!D117&amp;"")=TRIM('App Log'!D117&amp;""),"MATCH","DIFF"))</f>
      </c>
      <c r="K117" s="5">
        <f>IF('Actual Game'!E117="","",'Actual Game'!E117)</f>
      </c>
      <c r="L117" s="5">
        <f>IF('App Log'!E117="","",'App Log'!E117)</f>
      </c>
      <c r="M117" s="5">
        <f>IF(AND('Actual Game'!E117="",'App Log'!E117=""),"",IF(TRIM('Actual Game'!E117&amp;"")=TRIM('App Log'!E117&amp;""),"MATCH","DIFF"))</f>
      </c>
      <c r="N117" s="5">
        <f>IF('Actual Game'!F117="","",'Actual Game'!F117)</f>
      </c>
      <c r="O117" s="5">
        <f>IF('App Log'!F117="","",'App Log'!F117)</f>
      </c>
      <c r="P117" s="5">
        <f>IF(AND('Actual Game'!F117="",'App Log'!F117=""),"",IF(TRIM('Actual Game'!F117&amp;"")=TRIM('App Log'!F117&amp;""),"MATCH","DIFF"))</f>
      </c>
      <c r="Q117" s="5">
        <f>IF('Actual Game'!I117="","",'Actual Game'!I117)</f>
      </c>
      <c r="R117" s="5">
        <f>IF('App Log'!I117="","",'App Log'!I117)</f>
      </c>
      <c r="S117" s="5">
        <f>IF(AND('Actual Game'!I117="",'App Log'!I117=""),"",IF(TRIM('Actual Game'!I117&amp;"")=TRIM('App Log'!I117&amp;""),"MATCH","DIFF"))</f>
      </c>
      <c r="T117" s="5">
        <f>IF('Actual Game'!H117="","",'Actual Game'!H117)</f>
      </c>
      <c r="U117" s="5">
        <f>IF('App Log'!H117="","",'App Log'!H117)</f>
      </c>
      <c r="V117" s="5">
        <f>IF(AND('Actual Game'!H117="",'App Log'!H117=""),"",IF(TRIM('Actual Game'!H117&amp;"")=TRIM('App Log'!H117&amp;""),"MATCH","DIFF"))</f>
      </c>
      <c r="W117" s="5">
        <f>IF('Actual Game'!J117="","",'Actual Game'!J117)</f>
      </c>
      <c r="X117" s="5">
        <f>IF('App Log'!J117="","",'App Log'!J117)</f>
      </c>
      <c r="Y117" s="5">
        <f>IF(AND('Actual Game'!J117="",'App Log'!J117=""),"",IF(TRIM('Actual Game'!J117&amp;"")=TRIM('App Log'!J117&amp;""),"MATCH","DIFF"))</f>
      </c>
      <c r="Z117" s="5">
        <f>IF('Actual Game'!K117="","",'Actual Game'!K117)</f>
      </c>
      <c r="AA117" s="5">
        <f>IF('App Log'!K117="","",'App Log'!K117)</f>
      </c>
      <c r="AB117" s="5">
        <f>IF(AND('Actual Game'!K117="",'App Log'!K117=""),"",IF(TRIM('Actual Game'!K117&amp;"")=TRIM('App Log'!K117&amp;""),"MATCH","DIFF"))</f>
      </c>
      <c r="AC117" s="5">
        <f>IF(AND('Actual Game'!A117="",'App Log'!A117=""),"",IF(COUNTIF(D117:AB117,"DIFF")=0,"MATCH","CHECK"))</f>
      </c>
    </row>
    <row r="118" ht="19" customHeight="1">
      <c r="A118" s="5"/>
      <c r="B118" s="5">
        <f>IF('Actual Game'!B118="","",'Actual Game'!B118)</f>
      </c>
      <c r="C118" s="5">
        <f>IF('App Log'!B118="","",'App Log'!B118)</f>
      </c>
      <c r="D118" s="5">
        <f>IF(AND('Actual Game'!B118="",'App Log'!B118=""),"",IF(TRIM('Actual Game'!B118&amp;"")=TRIM('App Log'!B118&amp;""),"MATCH","DIFF"))</f>
      </c>
      <c r="E118" s="5">
        <f>IF('Actual Game'!C118="","",'Actual Game'!C118)</f>
      </c>
      <c r="F118" s="5">
        <f>IF('App Log'!C118="","",'App Log'!C118)</f>
      </c>
      <c r="G118" s="5">
        <f>IF(AND('Actual Game'!C118="",'App Log'!C118=""),"",IF(TRIM('Actual Game'!C118&amp;"")=TRIM('App Log'!C118&amp;""),"MATCH","DIFF"))</f>
      </c>
      <c r="H118" s="5">
        <f>IF('Actual Game'!D118="","",'Actual Game'!D118)</f>
      </c>
      <c r="I118" s="5">
        <f>IF('App Log'!D118="","",'App Log'!D118)</f>
      </c>
      <c r="J118" s="5">
        <f>IF(AND('Actual Game'!D118="",'App Log'!D118=""),"",IF(TRIM('Actual Game'!D118&amp;"")=TRIM('App Log'!D118&amp;""),"MATCH","DIFF"))</f>
      </c>
      <c r="K118" s="5">
        <f>IF('Actual Game'!E118="","",'Actual Game'!E118)</f>
      </c>
      <c r="L118" s="5">
        <f>IF('App Log'!E118="","",'App Log'!E118)</f>
      </c>
      <c r="M118" s="5">
        <f>IF(AND('Actual Game'!E118="",'App Log'!E118=""),"",IF(TRIM('Actual Game'!E118&amp;"")=TRIM('App Log'!E118&amp;""),"MATCH","DIFF"))</f>
      </c>
      <c r="N118" s="5">
        <f>IF('Actual Game'!F118="","",'Actual Game'!F118)</f>
      </c>
      <c r="O118" s="5">
        <f>IF('App Log'!F118="","",'App Log'!F118)</f>
      </c>
      <c r="P118" s="5">
        <f>IF(AND('Actual Game'!F118="",'App Log'!F118=""),"",IF(TRIM('Actual Game'!F118&amp;"")=TRIM('App Log'!F118&amp;""),"MATCH","DIFF"))</f>
      </c>
      <c r="Q118" s="5">
        <f>IF('Actual Game'!I118="","",'Actual Game'!I118)</f>
      </c>
      <c r="R118" s="5">
        <f>IF('App Log'!I118="","",'App Log'!I118)</f>
      </c>
      <c r="S118" s="5">
        <f>IF(AND('Actual Game'!I118="",'App Log'!I118=""),"",IF(TRIM('Actual Game'!I118&amp;"")=TRIM('App Log'!I118&amp;""),"MATCH","DIFF"))</f>
      </c>
      <c r="T118" s="5">
        <f>IF('Actual Game'!H118="","",'Actual Game'!H118)</f>
      </c>
      <c r="U118" s="5">
        <f>IF('App Log'!H118="","",'App Log'!H118)</f>
      </c>
      <c r="V118" s="5">
        <f>IF(AND('Actual Game'!H118="",'App Log'!H118=""),"",IF(TRIM('Actual Game'!H118&amp;"")=TRIM('App Log'!H118&amp;""),"MATCH","DIFF"))</f>
      </c>
      <c r="W118" s="5">
        <f>IF('Actual Game'!J118="","",'Actual Game'!J118)</f>
      </c>
      <c r="X118" s="5">
        <f>IF('App Log'!J118="","",'App Log'!J118)</f>
      </c>
      <c r="Y118" s="5">
        <f>IF(AND('Actual Game'!J118="",'App Log'!J118=""),"",IF(TRIM('Actual Game'!J118&amp;"")=TRIM('App Log'!J118&amp;""),"MATCH","DIFF"))</f>
      </c>
      <c r="Z118" s="5">
        <f>IF('Actual Game'!K118="","",'Actual Game'!K118)</f>
      </c>
      <c r="AA118" s="5">
        <f>IF('App Log'!K118="","",'App Log'!K118)</f>
      </c>
      <c r="AB118" s="5">
        <f>IF(AND('Actual Game'!K118="",'App Log'!K118=""),"",IF(TRIM('Actual Game'!K118&amp;"")=TRIM('App Log'!K118&amp;""),"MATCH","DIFF"))</f>
      </c>
      <c r="AC118" s="5">
        <f>IF(AND('Actual Game'!A118="",'App Log'!A118=""),"",IF(COUNTIF(D118:AB118,"DIFF")=0,"MATCH","CHECK"))</f>
      </c>
    </row>
    <row r="119" ht="19" customHeight="1">
      <c r="A119" s="5"/>
      <c r="B119" s="5">
        <f>IF('Actual Game'!B119="","",'Actual Game'!B119)</f>
      </c>
      <c r="C119" s="5">
        <f>IF('App Log'!B119="","",'App Log'!B119)</f>
      </c>
      <c r="D119" s="5">
        <f>IF(AND('Actual Game'!B119="",'App Log'!B119=""),"",IF(TRIM('Actual Game'!B119&amp;"")=TRIM('App Log'!B119&amp;""),"MATCH","DIFF"))</f>
      </c>
      <c r="E119" s="5">
        <f>IF('Actual Game'!C119="","",'Actual Game'!C119)</f>
      </c>
      <c r="F119" s="5">
        <f>IF('App Log'!C119="","",'App Log'!C119)</f>
      </c>
      <c r="G119" s="5">
        <f>IF(AND('Actual Game'!C119="",'App Log'!C119=""),"",IF(TRIM('Actual Game'!C119&amp;"")=TRIM('App Log'!C119&amp;""),"MATCH","DIFF"))</f>
      </c>
      <c r="H119" s="5">
        <f>IF('Actual Game'!D119="","",'Actual Game'!D119)</f>
      </c>
      <c r="I119" s="5">
        <f>IF('App Log'!D119="","",'App Log'!D119)</f>
      </c>
      <c r="J119" s="5">
        <f>IF(AND('Actual Game'!D119="",'App Log'!D119=""),"",IF(TRIM('Actual Game'!D119&amp;"")=TRIM('App Log'!D119&amp;""),"MATCH","DIFF"))</f>
      </c>
      <c r="K119" s="5">
        <f>IF('Actual Game'!E119="","",'Actual Game'!E119)</f>
      </c>
      <c r="L119" s="5">
        <f>IF('App Log'!E119="","",'App Log'!E119)</f>
      </c>
      <c r="M119" s="5">
        <f>IF(AND('Actual Game'!E119="",'App Log'!E119=""),"",IF(TRIM('Actual Game'!E119&amp;"")=TRIM('App Log'!E119&amp;""),"MATCH","DIFF"))</f>
      </c>
      <c r="N119" s="5">
        <f>IF('Actual Game'!F119="","",'Actual Game'!F119)</f>
      </c>
      <c r="O119" s="5">
        <f>IF('App Log'!F119="","",'App Log'!F119)</f>
      </c>
      <c r="P119" s="5">
        <f>IF(AND('Actual Game'!F119="",'App Log'!F119=""),"",IF(TRIM('Actual Game'!F119&amp;"")=TRIM('App Log'!F119&amp;""),"MATCH","DIFF"))</f>
      </c>
      <c r="Q119" s="5">
        <f>IF('Actual Game'!I119="","",'Actual Game'!I119)</f>
      </c>
      <c r="R119" s="5">
        <f>IF('App Log'!I119="","",'App Log'!I119)</f>
      </c>
      <c r="S119" s="5">
        <f>IF(AND('Actual Game'!I119="",'App Log'!I119=""),"",IF(TRIM('Actual Game'!I119&amp;"")=TRIM('App Log'!I119&amp;""),"MATCH","DIFF"))</f>
      </c>
      <c r="T119" s="5">
        <f>IF('Actual Game'!H119="","",'Actual Game'!H119)</f>
      </c>
      <c r="U119" s="5">
        <f>IF('App Log'!H119="","",'App Log'!H119)</f>
      </c>
      <c r="V119" s="5">
        <f>IF(AND('Actual Game'!H119="",'App Log'!H119=""),"",IF(TRIM('Actual Game'!H119&amp;"")=TRIM('App Log'!H119&amp;""),"MATCH","DIFF"))</f>
      </c>
      <c r="W119" s="5">
        <f>IF('Actual Game'!J119="","",'Actual Game'!J119)</f>
      </c>
      <c r="X119" s="5">
        <f>IF('App Log'!J119="","",'App Log'!J119)</f>
      </c>
      <c r="Y119" s="5">
        <f>IF(AND('Actual Game'!J119="",'App Log'!J119=""),"",IF(TRIM('Actual Game'!J119&amp;"")=TRIM('App Log'!J119&amp;""),"MATCH","DIFF"))</f>
      </c>
      <c r="Z119" s="5">
        <f>IF('Actual Game'!K119="","",'Actual Game'!K119)</f>
      </c>
      <c r="AA119" s="5">
        <f>IF('App Log'!K119="","",'App Log'!K119)</f>
      </c>
      <c r="AB119" s="5">
        <f>IF(AND('Actual Game'!K119="",'App Log'!K119=""),"",IF(TRIM('Actual Game'!K119&amp;"")=TRIM('App Log'!K119&amp;""),"MATCH","DIFF"))</f>
      </c>
      <c r="AC119" s="5">
        <f>IF(AND('Actual Game'!A119="",'App Log'!A119=""),"",IF(COUNTIF(D119:AB119,"DIFF")=0,"MATCH","CHECK"))</f>
      </c>
    </row>
    <row r="120" ht="19" customHeight="1">
      <c r="A120" s="5"/>
      <c r="B120" s="5">
        <f>IF('Actual Game'!B120="","",'Actual Game'!B120)</f>
      </c>
      <c r="C120" s="5">
        <f>IF('App Log'!B120="","",'App Log'!B120)</f>
      </c>
      <c r="D120" s="5">
        <f>IF(AND('Actual Game'!B120="",'App Log'!B120=""),"",IF(TRIM('Actual Game'!B120&amp;"")=TRIM('App Log'!B120&amp;""),"MATCH","DIFF"))</f>
      </c>
      <c r="E120" s="5">
        <f>IF('Actual Game'!C120="","",'Actual Game'!C120)</f>
      </c>
      <c r="F120" s="5">
        <f>IF('App Log'!C120="","",'App Log'!C120)</f>
      </c>
      <c r="G120" s="5">
        <f>IF(AND('Actual Game'!C120="",'App Log'!C120=""),"",IF(TRIM('Actual Game'!C120&amp;"")=TRIM('App Log'!C120&amp;""),"MATCH","DIFF"))</f>
      </c>
      <c r="H120" s="5">
        <f>IF('Actual Game'!D120="","",'Actual Game'!D120)</f>
      </c>
      <c r="I120" s="5">
        <f>IF('App Log'!D120="","",'App Log'!D120)</f>
      </c>
      <c r="J120" s="5">
        <f>IF(AND('Actual Game'!D120="",'App Log'!D120=""),"",IF(TRIM('Actual Game'!D120&amp;"")=TRIM('App Log'!D120&amp;""),"MATCH","DIFF"))</f>
      </c>
      <c r="K120" s="5">
        <f>IF('Actual Game'!E120="","",'Actual Game'!E120)</f>
      </c>
      <c r="L120" s="5">
        <f>IF('App Log'!E120="","",'App Log'!E120)</f>
      </c>
      <c r="M120" s="5">
        <f>IF(AND('Actual Game'!E120="",'App Log'!E120=""),"",IF(TRIM('Actual Game'!E120&amp;"")=TRIM('App Log'!E120&amp;""),"MATCH","DIFF"))</f>
      </c>
      <c r="N120" s="5">
        <f>IF('Actual Game'!F120="","",'Actual Game'!F120)</f>
      </c>
      <c r="O120" s="5">
        <f>IF('App Log'!F120="","",'App Log'!F120)</f>
      </c>
      <c r="P120" s="5">
        <f>IF(AND('Actual Game'!F120="",'App Log'!F120=""),"",IF(TRIM('Actual Game'!F120&amp;"")=TRIM('App Log'!F120&amp;""),"MATCH","DIFF"))</f>
      </c>
      <c r="Q120" s="5">
        <f>IF('Actual Game'!I120="","",'Actual Game'!I120)</f>
      </c>
      <c r="R120" s="5">
        <f>IF('App Log'!I120="","",'App Log'!I120)</f>
      </c>
      <c r="S120" s="5">
        <f>IF(AND('Actual Game'!I120="",'App Log'!I120=""),"",IF(TRIM('Actual Game'!I120&amp;"")=TRIM('App Log'!I120&amp;""),"MATCH","DIFF"))</f>
      </c>
      <c r="T120" s="5">
        <f>IF('Actual Game'!H120="","",'Actual Game'!H120)</f>
      </c>
      <c r="U120" s="5">
        <f>IF('App Log'!H120="","",'App Log'!H120)</f>
      </c>
      <c r="V120" s="5">
        <f>IF(AND('Actual Game'!H120="",'App Log'!H120=""),"",IF(TRIM('Actual Game'!H120&amp;"")=TRIM('App Log'!H120&amp;""),"MATCH","DIFF"))</f>
      </c>
      <c r="W120" s="5">
        <f>IF('Actual Game'!J120="","",'Actual Game'!J120)</f>
      </c>
      <c r="X120" s="5">
        <f>IF('App Log'!J120="","",'App Log'!J120)</f>
      </c>
      <c r="Y120" s="5">
        <f>IF(AND('Actual Game'!J120="",'App Log'!J120=""),"",IF(TRIM('Actual Game'!J120&amp;"")=TRIM('App Log'!J120&amp;""),"MATCH","DIFF"))</f>
      </c>
      <c r="Z120" s="5">
        <f>IF('Actual Game'!K120="","",'Actual Game'!K120)</f>
      </c>
      <c r="AA120" s="5">
        <f>IF('App Log'!K120="","",'App Log'!K120)</f>
      </c>
      <c r="AB120" s="5">
        <f>IF(AND('Actual Game'!K120="",'App Log'!K120=""),"",IF(TRIM('Actual Game'!K120&amp;"")=TRIM('App Log'!K120&amp;""),"MATCH","DIFF"))</f>
      </c>
      <c r="AC120" s="5">
        <f>IF(AND('Actual Game'!A120="",'App Log'!A120=""),"",IF(COUNTIF(D120:AB120,"DIFF")=0,"MATCH","CHECK"))</f>
      </c>
    </row>
    <row r="121" ht="19" customHeight="1">
      <c r="A121" s="5"/>
      <c r="B121" s="5">
        <f>IF('Actual Game'!B121="","",'Actual Game'!B121)</f>
      </c>
      <c r="C121" s="5">
        <f>IF('App Log'!B121="","",'App Log'!B121)</f>
      </c>
      <c r="D121" s="5">
        <f>IF(AND('Actual Game'!B121="",'App Log'!B121=""),"",IF(TRIM('Actual Game'!B121&amp;"")=TRIM('App Log'!B121&amp;""),"MATCH","DIFF"))</f>
      </c>
      <c r="E121" s="5">
        <f>IF('Actual Game'!C121="","",'Actual Game'!C121)</f>
      </c>
      <c r="F121" s="5">
        <f>IF('App Log'!C121="","",'App Log'!C121)</f>
      </c>
      <c r="G121" s="5">
        <f>IF(AND('Actual Game'!C121="",'App Log'!C121=""),"",IF(TRIM('Actual Game'!C121&amp;"")=TRIM('App Log'!C121&amp;""),"MATCH","DIFF"))</f>
      </c>
      <c r="H121" s="5">
        <f>IF('Actual Game'!D121="","",'Actual Game'!D121)</f>
      </c>
      <c r="I121" s="5">
        <f>IF('App Log'!D121="","",'App Log'!D121)</f>
      </c>
      <c r="J121" s="5">
        <f>IF(AND('Actual Game'!D121="",'App Log'!D121=""),"",IF(TRIM('Actual Game'!D121&amp;"")=TRIM('App Log'!D121&amp;""),"MATCH","DIFF"))</f>
      </c>
      <c r="K121" s="5">
        <f>IF('Actual Game'!E121="","",'Actual Game'!E121)</f>
      </c>
      <c r="L121" s="5">
        <f>IF('App Log'!E121="","",'App Log'!E121)</f>
      </c>
      <c r="M121" s="5">
        <f>IF(AND('Actual Game'!E121="",'App Log'!E121=""),"",IF(TRIM('Actual Game'!E121&amp;"")=TRIM('App Log'!E121&amp;""),"MATCH","DIFF"))</f>
      </c>
      <c r="N121" s="5">
        <f>IF('Actual Game'!F121="","",'Actual Game'!F121)</f>
      </c>
      <c r="O121" s="5">
        <f>IF('App Log'!F121="","",'App Log'!F121)</f>
      </c>
      <c r="P121" s="5">
        <f>IF(AND('Actual Game'!F121="",'App Log'!F121=""),"",IF(TRIM('Actual Game'!F121&amp;"")=TRIM('App Log'!F121&amp;""),"MATCH","DIFF"))</f>
      </c>
      <c r="Q121" s="5">
        <f>IF('Actual Game'!I121="","",'Actual Game'!I121)</f>
      </c>
      <c r="R121" s="5">
        <f>IF('App Log'!I121="","",'App Log'!I121)</f>
      </c>
      <c r="S121" s="5">
        <f>IF(AND('Actual Game'!I121="",'App Log'!I121=""),"",IF(TRIM('Actual Game'!I121&amp;"")=TRIM('App Log'!I121&amp;""),"MATCH","DIFF"))</f>
      </c>
      <c r="T121" s="5">
        <f>IF('Actual Game'!H121="","",'Actual Game'!H121)</f>
      </c>
      <c r="U121" s="5">
        <f>IF('App Log'!H121="","",'App Log'!H121)</f>
      </c>
      <c r="V121" s="5">
        <f>IF(AND('Actual Game'!H121="",'App Log'!H121=""),"",IF(TRIM('Actual Game'!H121&amp;"")=TRIM('App Log'!H121&amp;""),"MATCH","DIFF"))</f>
      </c>
      <c r="W121" s="5">
        <f>IF('Actual Game'!J121="","",'Actual Game'!J121)</f>
      </c>
      <c r="X121" s="5">
        <f>IF('App Log'!J121="","",'App Log'!J121)</f>
      </c>
      <c r="Y121" s="5">
        <f>IF(AND('Actual Game'!J121="",'App Log'!J121=""),"",IF(TRIM('Actual Game'!J121&amp;"")=TRIM('App Log'!J121&amp;""),"MATCH","DIFF"))</f>
      </c>
      <c r="Z121" s="5">
        <f>IF('Actual Game'!K121="","",'Actual Game'!K121)</f>
      </c>
      <c r="AA121" s="5">
        <f>IF('App Log'!K121="","",'App Log'!K121)</f>
      </c>
      <c r="AB121" s="5">
        <f>IF(AND('Actual Game'!K121="",'App Log'!K121=""),"",IF(TRIM('Actual Game'!K121&amp;"")=TRIM('App Log'!K121&amp;""),"MATCH","DIFF"))</f>
      </c>
      <c r="AC121" s="5">
        <f>IF(AND('Actual Game'!A121="",'App Log'!A121=""),"",IF(COUNTIF(D121:AB121,"DIFF")=0,"MATCH","CHECK"))</f>
      </c>
    </row>
    <row r="122" ht="19" customHeight="1">
      <c r="A122" s="5"/>
      <c r="B122" s="5">
        <f>IF('Actual Game'!B122="","",'Actual Game'!B122)</f>
      </c>
      <c r="C122" s="5">
        <f>IF('App Log'!B122="","",'App Log'!B122)</f>
      </c>
      <c r="D122" s="5">
        <f>IF(AND('Actual Game'!B122="",'App Log'!B122=""),"",IF(TRIM('Actual Game'!B122&amp;"")=TRIM('App Log'!B122&amp;""),"MATCH","DIFF"))</f>
      </c>
      <c r="E122" s="5">
        <f>IF('Actual Game'!C122="","",'Actual Game'!C122)</f>
      </c>
      <c r="F122" s="5">
        <f>IF('App Log'!C122="","",'App Log'!C122)</f>
      </c>
      <c r="G122" s="5">
        <f>IF(AND('Actual Game'!C122="",'App Log'!C122=""),"",IF(TRIM('Actual Game'!C122&amp;"")=TRIM('App Log'!C122&amp;""),"MATCH","DIFF"))</f>
      </c>
      <c r="H122" s="5">
        <f>IF('Actual Game'!D122="","",'Actual Game'!D122)</f>
      </c>
      <c r="I122" s="5">
        <f>IF('App Log'!D122="","",'App Log'!D122)</f>
      </c>
      <c r="J122" s="5">
        <f>IF(AND('Actual Game'!D122="",'App Log'!D122=""),"",IF(TRIM('Actual Game'!D122&amp;"")=TRIM('App Log'!D122&amp;""),"MATCH","DIFF"))</f>
      </c>
      <c r="K122" s="5">
        <f>IF('Actual Game'!E122="","",'Actual Game'!E122)</f>
      </c>
      <c r="L122" s="5">
        <f>IF('App Log'!E122="","",'App Log'!E122)</f>
      </c>
      <c r="M122" s="5">
        <f>IF(AND('Actual Game'!E122="",'App Log'!E122=""),"",IF(TRIM('Actual Game'!E122&amp;"")=TRIM('App Log'!E122&amp;""),"MATCH","DIFF"))</f>
      </c>
      <c r="N122" s="5">
        <f>IF('Actual Game'!F122="","",'Actual Game'!F122)</f>
      </c>
      <c r="O122" s="5">
        <f>IF('App Log'!F122="","",'App Log'!F122)</f>
      </c>
      <c r="P122" s="5">
        <f>IF(AND('Actual Game'!F122="",'App Log'!F122=""),"",IF(TRIM('Actual Game'!F122&amp;"")=TRIM('App Log'!F122&amp;""),"MATCH","DIFF"))</f>
      </c>
      <c r="Q122" s="5">
        <f>IF('Actual Game'!I122="","",'Actual Game'!I122)</f>
      </c>
      <c r="R122" s="5">
        <f>IF('App Log'!I122="","",'App Log'!I122)</f>
      </c>
      <c r="S122" s="5">
        <f>IF(AND('Actual Game'!I122="",'App Log'!I122=""),"",IF(TRIM('Actual Game'!I122&amp;"")=TRIM('App Log'!I122&amp;""),"MATCH","DIFF"))</f>
      </c>
      <c r="T122" s="5">
        <f>IF('Actual Game'!H122="","",'Actual Game'!H122)</f>
      </c>
      <c r="U122" s="5">
        <f>IF('App Log'!H122="","",'App Log'!H122)</f>
      </c>
      <c r="V122" s="5">
        <f>IF(AND('Actual Game'!H122="",'App Log'!H122=""),"",IF(TRIM('Actual Game'!H122&amp;"")=TRIM('App Log'!H122&amp;""),"MATCH","DIFF"))</f>
      </c>
      <c r="W122" s="5">
        <f>IF('Actual Game'!J122="","",'Actual Game'!J122)</f>
      </c>
      <c r="X122" s="5">
        <f>IF('App Log'!J122="","",'App Log'!J122)</f>
      </c>
      <c r="Y122" s="5">
        <f>IF(AND('Actual Game'!J122="",'App Log'!J122=""),"",IF(TRIM('Actual Game'!J122&amp;"")=TRIM('App Log'!J122&amp;""),"MATCH","DIFF"))</f>
      </c>
      <c r="Z122" s="5">
        <f>IF('Actual Game'!K122="","",'Actual Game'!K122)</f>
      </c>
      <c r="AA122" s="5">
        <f>IF('App Log'!K122="","",'App Log'!K122)</f>
      </c>
      <c r="AB122" s="5">
        <f>IF(AND('Actual Game'!K122="",'App Log'!K122=""),"",IF(TRIM('Actual Game'!K122&amp;"")=TRIM('App Log'!K122&amp;""),"MATCH","DIFF"))</f>
      </c>
      <c r="AC122" s="5">
        <f>IF(AND('Actual Game'!A122="",'App Log'!A122=""),"",IF(COUNTIF(D122:AB122,"DIFF")=0,"MATCH","CHECK"))</f>
      </c>
    </row>
    <row r="123" ht="19" customHeight="1">
      <c r="A123" s="5"/>
      <c r="B123" s="5">
        <f>IF('Actual Game'!B123="","",'Actual Game'!B123)</f>
      </c>
      <c r="C123" s="5">
        <f>IF('App Log'!B123="","",'App Log'!B123)</f>
      </c>
      <c r="D123" s="5">
        <f>IF(AND('Actual Game'!B123="",'App Log'!B123=""),"",IF(TRIM('Actual Game'!B123&amp;"")=TRIM('App Log'!B123&amp;""),"MATCH","DIFF"))</f>
      </c>
      <c r="E123" s="5">
        <f>IF('Actual Game'!C123="","",'Actual Game'!C123)</f>
      </c>
      <c r="F123" s="5">
        <f>IF('App Log'!C123="","",'App Log'!C123)</f>
      </c>
      <c r="G123" s="5">
        <f>IF(AND('Actual Game'!C123="",'App Log'!C123=""),"",IF(TRIM('Actual Game'!C123&amp;"")=TRIM('App Log'!C123&amp;""),"MATCH","DIFF"))</f>
      </c>
      <c r="H123" s="5">
        <f>IF('Actual Game'!D123="","",'Actual Game'!D123)</f>
      </c>
      <c r="I123" s="5">
        <f>IF('App Log'!D123="","",'App Log'!D123)</f>
      </c>
      <c r="J123" s="5">
        <f>IF(AND('Actual Game'!D123="",'App Log'!D123=""),"",IF(TRIM('Actual Game'!D123&amp;"")=TRIM('App Log'!D123&amp;""),"MATCH","DIFF"))</f>
      </c>
      <c r="K123" s="5">
        <f>IF('Actual Game'!E123="","",'Actual Game'!E123)</f>
      </c>
      <c r="L123" s="5">
        <f>IF('App Log'!E123="","",'App Log'!E123)</f>
      </c>
      <c r="M123" s="5">
        <f>IF(AND('Actual Game'!E123="",'App Log'!E123=""),"",IF(TRIM('Actual Game'!E123&amp;"")=TRIM('App Log'!E123&amp;""),"MATCH","DIFF"))</f>
      </c>
      <c r="N123" s="5">
        <f>IF('Actual Game'!F123="","",'Actual Game'!F123)</f>
      </c>
      <c r="O123" s="5">
        <f>IF('App Log'!F123="","",'App Log'!F123)</f>
      </c>
      <c r="P123" s="5">
        <f>IF(AND('Actual Game'!F123="",'App Log'!F123=""),"",IF(TRIM('Actual Game'!F123&amp;"")=TRIM('App Log'!F123&amp;""),"MATCH","DIFF"))</f>
      </c>
      <c r="Q123" s="5">
        <f>IF('Actual Game'!I123="","",'Actual Game'!I123)</f>
      </c>
      <c r="R123" s="5">
        <f>IF('App Log'!I123="","",'App Log'!I123)</f>
      </c>
      <c r="S123" s="5">
        <f>IF(AND('Actual Game'!I123="",'App Log'!I123=""),"",IF(TRIM('Actual Game'!I123&amp;"")=TRIM('App Log'!I123&amp;""),"MATCH","DIFF"))</f>
      </c>
      <c r="T123" s="5">
        <f>IF('Actual Game'!H123="","",'Actual Game'!H123)</f>
      </c>
      <c r="U123" s="5">
        <f>IF('App Log'!H123="","",'App Log'!H123)</f>
      </c>
      <c r="V123" s="5">
        <f>IF(AND('Actual Game'!H123="",'App Log'!H123=""),"",IF(TRIM('Actual Game'!H123&amp;"")=TRIM('App Log'!H123&amp;""),"MATCH","DIFF"))</f>
      </c>
      <c r="W123" s="5">
        <f>IF('Actual Game'!J123="","",'Actual Game'!J123)</f>
      </c>
      <c r="X123" s="5">
        <f>IF('App Log'!J123="","",'App Log'!J123)</f>
      </c>
      <c r="Y123" s="5">
        <f>IF(AND('Actual Game'!J123="",'App Log'!J123=""),"",IF(TRIM('Actual Game'!J123&amp;"")=TRIM('App Log'!J123&amp;""),"MATCH","DIFF"))</f>
      </c>
      <c r="Z123" s="5">
        <f>IF('Actual Game'!K123="","",'Actual Game'!K123)</f>
      </c>
      <c r="AA123" s="5">
        <f>IF('App Log'!K123="","",'App Log'!K123)</f>
      </c>
      <c r="AB123" s="5">
        <f>IF(AND('Actual Game'!K123="",'App Log'!K123=""),"",IF(TRIM('Actual Game'!K123&amp;"")=TRIM('App Log'!K123&amp;""),"MATCH","DIFF"))</f>
      </c>
      <c r="AC123" s="5">
        <f>IF(AND('Actual Game'!A123="",'App Log'!A123=""),"",IF(COUNTIF(D123:AB123,"DIFF")=0,"MATCH","CHECK"))</f>
      </c>
    </row>
    <row r="124" ht="19" customHeight="1">
      <c r="A124" s="5"/>
      <c r="B124" s="5">
        <f>IF('Actual Game'!B124="","",'Actual Game'!B124)</f>
      </c>
      <c r="C124" s="5">
        <f>IF('App Log'!B124="","",'App Log'!B124)</f>
      </c>
      <c r="D124" s="5">
        <f>IF(AND('Actual Game'!B124="",'App Log'!B124=""),"",IF(TRIM('Actual Game'!B124&amp;"")=TRIM('App Log'!B124&amp;""),"MATCH","DIFF"))</f>
      </c>
      <c r="E124" s="5">
        <f>IF('Actual Game'!C124="","",'Actual Game'!C124)</f>
      </c>
      <c r="F124" s="5">
        <f>IF('App Log'!C124="","",'App Log'!C124)</f>
      </c>
      <c r="G124" s="5">
        <f>IF(AND('Actual Game'!C124="",'App Log'!C124=""),"",IF(TRIM('Actual Game'!C124&amp;"")=TRIM('App Log'!C124&amp;""),"MATCH","DIFF"))</f>
      </c>
      <c r="H124" s="5">
        <f>IF('Actual Game'!D124="","",'Actual Game'!D124)</f>
      </c>
      <c r="I124" s="5">
        <f>IF('App Log'!D124="","",'App Log'!D124)</f>
      </c>
      <c r="J124" s="5">
        <f>IF(AND('Actual Game'!D124="",'App Log'!D124=""),"",IF(TRIM('Actual Game'!D124&amp;"")=TRIM('App Log'!D124&amp;""),"MATCH","DIFF"))</f>
      </c>
      <c r="K124" s="5">
        <f>IF('Actual Game'!E124="","",'Actual Game'!E124)</f>
      </c>
      <c r="L124" s="5">
        <f>IF('App Log'!E124="","",'App Log'!E124)</f>
      </c>
      <c r="M124" s="5">
        <f>IF(AND('Actual Game'!E124="",'App Log'!E124=""),"",IF(TRIM('Actual Game'!E124&amp;"")=TRIM('App Log'!E124&amp;""),"MATCH","DIFF"))</f>
      </c>
      <c r="N124" s="5">
        <f>IF('Actual Game'!F124="","",'Actual Game'!F124)</f>
      </c>
      <c r="O124" s="5">
        <f>IF('App Log'!F124="","",'App Log'!F124)</f>
      </c>
      <c r="P124" s="5">
        <f>IF(AND('Actual Game'!F124="",'App Log'!F124=""),"",IF(TRIM('Actual Game'!F124&amp;"")=TRIM('App Log'!F124&amp;""),"MATCH","DIFF"))</f>
      </c>
      <c r="Q124" s="5">
        <f>IF('Actual Game'!I124="","",'Actual Game'!I124)</f>
      </c>
      <c r="R124" s="5">
        <f>IF('App Log'!I124="","",'App Log'!I124)</f>
      </c>
      <c r="S124" s="5">
        <f>IF(AND('Actual Game'!I124="",'App Log'!I124=""),"",IF(TRIM('Actual Game'!I124&amp;"")=TRIM('App Log'!I124&amp;""),"MATCH","DIFF"))</f>
      </c>
      <c r="T124" s="5">
        <f>IF('Actual Game'!H124="","",'Actual Game'!H124)</f>
      </c>
      <c r="U124" s="5">
        <f>IF('App Log'!H124="","",'App Log'!H124)</f>
      </c>
      <c r="V124" s="5">
        <f>IF(AND('Actual Game'!H124="",'App Log'!H124=""),"",IF(TRIM('Actual Game'!H124&amp;"")=TRIM('App Log'!H124&amp;""),"MATCH","DIFF"))</f>
      </c>
      <c r="W124" s="5">
        <f>IF('Actual Game'!J124="","",'Actual Game'!J124)</f>
      </c>
      <c r="X124" s="5">
        <f>IF('App Log'!J124="","",'App Log'!J124)</f>
      </c>
      <c r="Y124" s="5">
        <f>IF(AND('Actual Game'!J124="",'App Log'!J124=""),"",IF(TRIM('Actual Game'!J124&amp;"")=TRIM('App Log'!J124&amp;""),"MATCH","DIFF"))</f>
      </c>
      <c r="Z124" s="5">
        <f>IF('Actual Game'!K124="","",'Actual Game'!K124)</f>
      </c>
      <c r="AA124" s="5">
        <f>IF('App Log'!K124="","",'App Log'!K124)</f>
      </c>
      <c r="AB124" s="5">
        <f>IF(AND('Actual Game'!K124="",'App Log'!K124=""),"",IF(TRIM('Actual Game'!K124&amp;"")=TRIM('App Log'!K124&amp;""),"MATCH","DIFF"))</f>
      </c>
      <c r="AC124" s="5">
        <f>IF(AND('Actual Game'!A124="",'App Log'!A124=""),"",IF(COUNTIF(D124:AB124,"DIFF")=0,"MATCH","CHECK"))</f>
      </c>
    </row>
    <row r="125" ht="19" customHeight="1">
      <c r="A125" s="5"/>
      <c r="B125" s="5">
        <f>IF('Actual Game'!B125="","",'Actual Game'!B125)</f>
      </c>
      <c r="C125" s="5">
        <f>IF('App Log'!B125="","",'App Log'!B125)</f>
      </c>
      <c r="D125" s="5">
        <f>IF(AND('Actual Game'!B125="",'App Log'!B125=""),"",IF(TRIM('Actual Game'!B125&amp;"")=TRIM('App Log'!B125&amp;""),"MATCH","DIFF"))</f>
      </c>
      <c r="E125" s="5">
        <f>IF('Actual Game'!C125="","",'Actual Game'!C125)</f>
      </c>
      <c r="F125" s="5">
        <f>IF('App Log'!C125="","",'App Log'!C125)</f>
      </c>
      <c r="G125" s="5">
        <f>IF(AND('Actual Game'!C125="",'App Log'!C125=""),"",IF(TRIM('Actual Game'!C125&amp;"")=TRIM('App Log'!C125&amp;""),"MATCH","DIFF"))</f>
      </c>
      <c r="H125" s="5">
        <f>IF('Actual Game'!D125="","",'Actual Game'!D125)</f>
      </c>
      <c r="I125" s="5">
        <f>IF('App Log'!D125="","",'App Log'!D125)</f>
      </c>
      <c r="J125" s="5">
        <f>IF(AND('Actual Game'!D125="",'App Log'!D125=""),"",IF(TRIM('Actual Game'!D125&amp;"")=TRIM('App Log'!D125&amp;""),"MATCH","DIFF"))</f>
      </c>
      <c r="K125" s="5">
        <f>IF('Actual Game'!E125="","",'Actual Game'!E125)</f>
      </c>
      <c r="L125" s="5">
        <f>IF('App Log'!E125="","",'App Log'!E125)</f>
      </c>
      <c r="M125" s="5">
        <f>IF(AND('Actual Game'!E125="",'App Log'!E125=""),"",IF(TRIM('Actual Game'!E125&amp;"")=TRIM('App Log'!E125&amp;""),"MATCH","DIFF"))</f>
      </c>
      <c r="N125" s="5">
        <f>IF('Actual Game'!F125="","",'Actual Game'!F125)</f>
      </c>
      <c r="O125" s="5">
        <f>IF('App Log'!F125="","",'App Log'!F125)</f>
      </c>
      <c r="P125" s="5">
        <f>IF(AND('Actual Game'!F125="",'App Log'!F125=""),"",IF(TRIM('Actual Game'!F125&amp;"")=TRIM('App Log'!F125&amp;""),"MATCH","DIFF"))</f>
      </c>
      <c r="Q125" s="5">
        <f>IF('Actual Game'!I125="","",'Actual Game'!I125)</f>
      </c>
      <c r="R125" s="5">
        <f>IF('App Log'!I125="","",'App Log'!I125)</f>
      </c>
      <c r="S125" s="5">
        <f>IF(AND('Actual Game'!I125="",'App Log'!I125=""),"",IF(TRIM('Actual Game'!I125&amp;"")=TRIM('App Log'!I125&amp;""),"MATCH","DIFF"))</f>
      </c>
      <c r="T125" s="5">
        <f>IF('Actual Game'!H125="","",'Actual Game'!H125)</f>
      </c>
      <c r="U125" s="5">
        <f>IF('App Log'!H125="","",'App Log'!H125)</f>
      </c>
      <c r="V125" s="5">
        <f>IF(AND('Actual Game'!H125="",'App Log'!H125=""),"",IF(TRIM('Actual Game'!H125&amp;"")=TRIM('App Log'!H125&amp;""),"MATCH","DIFF"))</f>
      </c>
      <c r="W125" s="5">
        <f>IF('Actual Game'!J125="","",'Actual Game'!J125)</f>
      </c>
      <c r="X125" s="5">
        <f>IF('App Log'!J125="","",'App Log'!J125)</f>
      </c>
      <c r="Y125" s="5">
        <f>IF(AND('Actual Game'!J125="",'App Log'!J125=""),"",IF(TRIM('Actual Game'!J125&amp;"")=TRIM('App Log'!J125&amp;""),"MATCH","DIFF"))</f>
      </c>
      <c r="Z125" s="5">
        <f>IF('Actual Game'!K125="","",'Actual Game'!K125)</f>
      </c>
      <c r="AA125" s="5">
        <f>IF('App Log'!K125="","",'App Log'!K125)</f>
      </c>
      <c r="AB125" s="5">
        <f>IF(AND('Actual Game'!K125="",'App Log'!K125=""),"",IF(TRIM('Actual Game'!K125&amp;"")=TRIM('App Log'!K125&amp;""),"MATCH","DIFF"))</f>
      </c>
      <c r="AC125" s="5">
        <f>IF(AND('Actual Game'!A125="",'App Log'!A125=""),"",IF(COUNTIF(D125:AB125,"DIFF")=0,"MATCH","CHECK"))</f>
      </c>
    </row>
    <row r="126" ht="19" customHeight="1">
      <c r="A126" s="5"/>
      <c r="B126" s="5">
        <f>IF('Actual Game'!B126="","",'Actual Game'!B126)</f>
      </c>
      <c r="C126" s="5">
        <f>IF('App Log'!B126="","",'App Log'!B126)</f>
      </c>
      <c r="D126" s="5">
        <f>IF(AND('Actual Game'!B126="",'App Log'!B126=""),"",IF(TRIM('Actual Game'!B126&amp;"")=TRIM('App Log'!B126&amp;""),"MATCH","DIFF"))</f>
      </c>
      <c r="E126" s="5">
        <f>IF('Actual Game'!C126="","",'Actual Game'!C126)</f>
      </c>
      <c r="F126" s="5">
        <f>IF('App Log'!C126="","",'App Log'!C126)</f>
      </c>
      <c r="G126" s="5">
        <f>IF(AND('Actual Game'!C126="",'App Log'!C126=""),"",IF(TRIM('Actual Game'!C126&amp;"")=TRIM('App Log'!C126&amp;""),"MATCH","DIFF"))</f>
      </c>
      <c r="H126" s="5">
        <f>IF('Actual Game'!D126="","",'Actual Game'!D126)</f>
      </c>
      <c r="I126" s="5">
        <f>IF('App Log'!D126="","",'App Log'!D126)</f>
      </c>
      <c r="J126" s="5">
        <f>IF(AND('Actual Game'!D126="",'App Log'!D126=""),"",IF(TRIM('Actual Game'!D126&amp;"")=TRIM('App Log'!D126&amp;""),"MATCH","DIFF"))</f>
      </c>
      <c r="K126" s="5">
        <f>IF('Actual Game'!E126="","",'Actual Game'!E126)</f>
      </c>
      <c r="L126" s="5">
        <f>IF('App Log'!E126="","",'App Log'!E126)</f>
      </c>
      <c r="M126" s="5">
        <f>IF(AND('Actual Game'!E126="",'App Log'!E126=""),"",IF(TRIM('Actual Game'!E126&amp;"")=TRIM('App Log'!E126&amp;""),"MATCH","DIFF"))</f>
      </c>
      <c r="N126" s="5">
        <f>IF('Actual Game'!F126="","",'Actual Game'!F126)</f>
      </c>
      <c r="O126" s="5">
        <f>IF('App Log'!F126="","",'App Log'!F126)</f>
      </c>
      <c r="P126" s="5">
        <f>IF(AND('Actual Game'!F126="",'App Log'!F126=""),"",IF(TRIM('Actual Game'!F126&amp;"")=TRIM('App Log'!F126&amp;""),"MATCH","DIFF"))</f>
      </c>
      <c r="Q126" s="5">
        <f>IF('Actual Game'!I126="","",'Actual Game'!I126)</f>
      </c>
      <c r="R126" s="5">
        <f>IF('App Log'!I126="","",'App Log'!I126)</f>
      </c>
      <c r="S126" s="5">
        <f>IF(AND('Actual Game'!I126="",'App Log'!I126=""),"",IF(TRIM('Actual Game'!I126&amp;"")=TRIM('App Log'!I126&amp;""),"MATCH","DIFF"))</f>
      </c>
      <c r="T126" s="5">
        <f>IF('Actual Game'!H126="","",'Actual Game'!H126)</f>
      </c>
      <c r="U126" s="5">
        <f>IF('App Log'!H126="","",'App Log'!H126)</f>
      </c>
      <c r="V126" s="5">
        <f>IF(AND('Actual Game'!H126="",'App Log'!H126=""),"",IF(TRIM('Actual Game'!H126&amp;"")=TRIM('App Log'!H126&amp;""),"MATCH","DIFF"))</f>
      </c>
      <c r="W126" s="5">
        <f>IF('Actual Game'!J126="","",'Actual Game'!J126)</f>
      </c>
      <c r="X126" s="5">
        <f>IF('App Log'!J126="","",'App Log'!J126)</f>
      </c>
      <c r="Y126" s="5">
        <f>IF(AND('Actual Game'!J126="",'App Log'!J126=""),"",IF(TRIM('Actual Game'!J126&amp;"")=TRIM('App Log'!J126&amp;""),"MATCH","DIFF"))</f>
      </c>
      <c r="Z126" s="5">
        <f>IF('Actual Game'!K126="","",'Actual Game'!K126)</f>
      </c>
      <c r="AA126" s="5">
        <f>IF('App Log'!K126="","",'App Log'!K126)</f>
      </c>
      <c r="AB126" s="5">
        <f>IF(AND('Actual Game'!K126="",'App Log'!K126=""),"",IF(TRIM('Actual Game'!K126&amp;"")=TRIM('App Log'!K126&amp;""),"MATCH","DIFF"))</f>
      </c>
      <c r="AC126" s="5">
        <f>IF(AND('Actual Game'!A126="",'App Log'!A126=""),"",IF(COUNTIF(D126:AB126,"DIFF")=0,"MATCH","CHECK"))</f>
      </c>
    </row>
    <row r="127" ht="19" customHeight="1">
      <c r="A127" s="5"/>
      <c r="B127" s="5">
        <f>IF('Actual Game'!B127="","",'Actual Game'!B127)</f>
      </c>
      <c r="C127" s="5">
        <f>IF('App Log'!B127="","",'App Log'!B127)</f>
      </c>
      <c r="D127" s="5">
        <f>IF(AND('Actual Game'!B127="",'App Log'!B127=""),"",IF(TRIM('Actual Game'!B127&amp;"")=TRIM('App Log'!B127&amp;""),"MATCH","DIFF"))</f>
      </c>
      <c r="E127" s="5">
        <f>IF('Actual Game'!C127="","",'Actual Game'!C127)</f>
      </c>
      <c r="F127" s="5">
        <f>IF('App Log'!C127="","",'App Log'!C127)</f>
      </c>
      <c r="G127" s="5">
        <f>IF(AND('Actual Game'!C127="",'App Log'!C127=""),"",IF(TRIM('Actual Game'!C127&amp;"")=TRIM('App Log'!C127&amp;""),"MATCH","DIFF"))</f>
      </c>
      <c r="H127" s="5">
        <f>IF('Actual Game'!D127="","",'Actual Game'!D127)</f>
      </c>
      <c r="I127" s="5">
        <f>IF('App Log'!D127="","",'App Log'!D127)</f>
      </c>
      <c r="J127" s="5">
        <f>IF(AND('Actual Game'!D127="",'App Log'!D127=""),"",IF(TRIM('Actual Game'!D127&amp;"")=TRIM('App Log'!D127&amp;""),"MATCH","DIFF"))</f>
      </c>
      <c r="K127" s="5">
        <f>IF('Actual Game'!E127="","",'Actual Game'!E127)</f>
      </c>
      <c r="L127" s="5">
        <f>IF('App Log'!E127="","",'App Log'!E127)</f>
      </c>
      <c r="M127" s="5">
        <f>IF(AND('Actual Game'!E127="",'App Log'!E127=""),"",IF(TRIM('Actual Game'!E127&amp;"")=TRIM('App Log'!E127&amp;""),"MATCH","DIFF"))</f>
      </c>
      <c r="N127" s="5">
        <f>IF('Actual Game'!F127="","",'Actual Game'!F127)</f>
      </c>
      <c r="O127" s="5">
        <f>IF('App Log'!F127="","",'App Log'!F127)</f>
      </c>
      <c r="P127" s="5">
        <f>IF(AND('Actual Game'!F127="",'App Log'!F127=""),"",IF(TRIM('Actual Game'!F127&amp;"")=TRIM('App Log'!F127&amp;""),"MATCH","DIFF"))</f>
      </c>
      <c r="Q127" s="5">
        <f>IF('Actual Game'!I127="","",'Actual Game'!I127)</f>
      </c>
      <c r="R127" s="5">
        <f>IF('App Log'!I127="","",'App Log'!I127)</f>
      </c>
      <c r="S127" s="5">
        <f>IF(AND('Actual Game'!I127="",'App Log'!I127=""),"",IF(TRIM('Actual Game'!I127&amp;"")=TRIM('App Log'!I127&amp;""),"MATCH","DIFF"))</f>
      </c>
      <c r="T127" s="5">
        <f>IF('Actual Game'!H127="","",'Actual Game'!H127)</f>
      </c>
      <c r="U127" s="5">
        <f>IF('App Log'!H127="","",'App Log'!H127)</f>
      </c>
      <c r="V127" s="5">
        <f>IF(AND('Actual Game'!H127="",'App Log'!H127=""),"",IF(TRIM('Actual Game'!H127&amp;"")=TRIM('App Log'!H127&amp;""),"MATCH","DIFF"))</f>
      </c>
      <c r="W127" s="5">
        <f>IF('Actual Game'!J127="","",'Actual Game'!J127)</f>
      </c>
      <c r="X127" s="5">
        <f>IF('App Log'!J127="","",'App Log'!J127)</f>
      </c>
      <c r="Y127" s="5">
        <f>IF(AND('Actual Game'!J127="",'App Log'!J127=""),"",IF(TRIM('Actual Game'!J127&amp;"")=TRIM('App Log'!J127&amp;""),"MATCH","DIFF"))</f>
      </c>
      <c r="Z127" s="5">
        <f>IF('Actual Game'!K127="","",'Actual Game'!K127)</f>
      </c>
      <c r="AA127" s="5">
        <f>IF('App Log'!K127="","",'App Log'!K127)</f>
      </c>
      <c r="AB127" s="5">
        <f>IF(AND('Actual Game'!K127="",'App Log'!K127=""),"",IF(TRIM('Actual Game'!K127&amp;"")=TRIM('App Log'!K127&amp;""),"MATCH","DIFF"))</f>
      </c>
      <c r="AC127" s="5">
        <f>IF(AND('Actual Game'!A127="",'App Log'!A127=""),"",IF(COUNTIF(D127:AB127,"DIFF")=0,"MATCH","CHECK"))</f>
      </c>
    </row>
    <row r="128" ht="19" customHeight="1">
      <c r="A128" s="5"/>
      <c r="B128" s="5">
        <f>IF('Actual Game'!B128="","",'Actual Game'!B128)</f>
      </c>
      <c r="C128" s="5">
        <f>IF('App Log'!B128="","",'App Log'!B128)</f>
      </c>
      <c r="D128" s="5">
        <f>IF(AND('Actual Game'!B128="",'App Log'!B128=""),"",IF(TRIM('Actual Game'!B128&amp;"")=TRIM('App Log'!B128&amp;""),"MATCH","DIFF"))</f>
      </c>
      <c r="E128" s="5">
        <f>IF('Actual Game'!C128="","",'Actual Game'!C128)</f>
      </c>
      <c r="F128" s="5">
        <f>IF('App Log'!C128="","",'App Log'!C128)</f>
      </c>
      <c r="G128" s="5">
        <f>IF(AND('Actual Game'!C128="",'App Log'!C128=""),"",IF(TRIM('Actual Game'!C128&amp;"")=TRIM('App Log'!C128&amp;""),"MATCH","DIFF"))</f>
      </c>
      <c r="H128" s="5">
        <f>IF('Actual Game'!D128="","",'Actual Game'!D128)</f>
      </c>
      <c r="I128" s="5">
        <f>IF('App Log'!D128="","",'App Log'!D128)</f>
      </c>
      <c r="J128" s="5">
        <f>IF(AND('Actual Game'!D128="",'App Log'!D128=""),"",IF(TRIM('Actual Game'!D128&amp;"")=TRIM('App Log'!D128&amp;""),"MATCH","DIFF"))</f>
      </c>
      <c r="K128" s="5">
        <f>IF('Actual Game'!E128="","",'Actual Game'!E128)</f>
      </c>
      <c r="L128" s="5">
        <f>IF('App Log'!E128="","",'App Log'!E128)</f>
      </c>
      <c r="M128" s="5">
        <f>IF(AND('Actual Game'!E128="",'App Log'!E128=""),"",IF(TRIM('Actual Game'!E128&amp;"")=TRIM('App Log'!E128&amp;""),"MATCH","DIFF"))</f>
      </c>
      <c r="N128" s="5">
        <f>IF('Actual Game'!F128="","",'Actual Game'!F128)</f>
      </c>
      <c r="O128" s="5">
        <f>IF('App Log'!F128="","",'App Log'!F128)</f>
      </c>
      <c r="P128" s="5">
        <f>IF(AND('Actual Game'!F128="",'App Log'!F128=""),"",IF(TRIM('Actual Game'!F128&amp;"")=TRIM('App Log'!F128&amp;""),"MATCH","DIFF"))</f>
      </c>
      <c r="Q128" s="5">
        <f>IF('Actual Game'!I128="","",'Actual Game'!I128)</f>
      </c>
      <c r="R128" s="5">
        <f>IF('App Log'!I128="","",'App Log'!I128)</f>
      </c>
      <c r="S128" s="5">
        <f>IF(AND('Actual Game'!I128="",'App Log'!I128=""),"",IF(TRIM('Actual Game'!I128&amp;"")=TRIM('App Log'!I128&amp;""),"MATCH","DIFF"))</f>
      </c>
      <c r="T128" s="5">
        <f>IF('Actual Game'!H128="","",'Actual Game'!H128)</f>
      </c>
      <c r="U128" s="5">
        <f>IF('App Log'!H128="","",'App Log'!H128)</f>
      </c>
      <c r="V128" s="5">
        <f>IF(AND('Actual Game'!H128="",'App Log'!H128=""),"",IF(TRIM('Actual Game'!H128&amp;"")=TRIM('App Log'!H128&amp;""),"MATCH","DIFF"))</f>
      </c>
      <c r="W128" s="5">
        <f>IF('Actual Game'!J128="","",'Actual Game'!J128)</f>
      </c>
      <c r="X128" s="5">
        <f>IF('App Log'!J128="","",'App Log'!J128)</f>
      </c>
      <c r="Y128" s="5">
        <f>IF(AND('Actual Game'!J128="",'App Log'!J128=""),"",IF(TRIM('Actual Game'!J128&amp;"")=TRIM('App Log'!J128&amp;""),"MATCH","DIFF"))</f>
      </c>
      <c r="Z128" s="5">
        <f>IF('Actual Game'!K128="","",'Actual Game'!K128)</f>
      </c>
      <c r="AA128" s="5">
        <f>IF('App Log'!K128="","",'App Log'!K128)</f>
      </c>
      <c r="AB128" s="5">
        <f>IF(AND('Actual Game'!K128="",'App Log'!K128=""),"",IF(TRIM('Actual Game'!K128&amp;"")=TRIM('App Log'!K128&amp;""),"MATCH","DIFF"))</f>
      </c>
      <c r="AC128" s="5">
        <f>IF(AND('Actual Game'!A128="",'App Log'!A128=""),"",IF(COUNTIF(D128:AB128,"DIFF")=0,"MATCH","CHECK"))</f>
      </c>
    </row>
    <row r="129" ht="19" customHeight="1">
      <c r="A129" s="5"/>
      <c r="B129" s="5">
        <f>IF('Actual Game'!B129="","",'Actual Game'!B129)</f>
      </c>
      <c r="C129" s="5">
        <f>IF('App Log'!B129="","",'App Log'!B129)</f>
      </c>
      <c r="D129" s="5">
        <f>IF(AND('Actual Game'!B129="",'App Log'!B129=""),"",IF(TRIM('Actual Game'!B129&amp;"")=TRIM('App Log'!B129&amp;""),"MATCH","DIFF"))</f>
      </c>
      <c r="E129" s="5">
        <f>IF('Actual Game'!C129="","",'Actual Game'!C129)</f>
      </c>
      <c r="F129" s="5">
        <f>IF('App Log'!C129="","",'App Log'!C129)</f>
      </c>
      <c r="G129" s="5">
        <f>IF(AND('Actual Game'!C129="",'App Log'!C129=""),"",IF(TRIM('Actual Game'!C129&amp;"")=TRIM('App Log'!C129&amp;""),"MATCH","DIFF"))</f>
      </c>
      <c r="H129" s="5">
        <f>IF('Actual Game'!D129="","",'Actual Game'!D129)</f>
      </c>
      <c r="I129" s="5">
        <f>IF('App Log'!D129="","",'App Log'!D129)</f>
      </c>
      <c r="J129" s="5">
        <f>IF(AND('Actual Game'!D129="",'App Log'!D129=""),"",IF(TRIM('Actual Game'!D129&amp;"")=TRIM('App Log'!D129&amp;""),"MATCH","DIFF"))</f>
      </c>
      <c r="K129" s="5">
        <f>IF('Actual Game'!E129="","",'Actual Game'!E129)</f>
      </c>
      <c r="L129" s="5">
        <f>IF('App Log'!E129="","",'App Log'!E129)</f>
      </c>
      <c r="M129" s="5">
        <f>IF(AND('Actual Game'!E129="",'App Log'!E129=""),"",IF(TRIM('Actual Game'!E129&amp;"")=TRIM('App Log'!E129&amp;""),"MATCH","DIFF"))</f>
      </c>
      <c r="N129" s="5">
        <f>IF('Actual Game'!F129="","",'Actual Game'!F129)</f>
      </c>
      <c r="O129" s="5">
        <f>IF('App Log'!F129="","",'App Log'!F129)</f>
      </c>
      <c r="P129" s="5">
        <f>IF(AND('Actual Game'!F129="",'App Log'!F129=""),"",IF(TRIM('Actual Game'!F129&amp;"")=TRIM('App Log'!F129&amp;""),"MATCH","DIFF"))</f>
      </c>
      <c r="Q129" s="5">
        <f>IF('Actual Game'!I129="","",'Actual Game'!I129)</f>
      </c>
      <c r="R129" s="5">
        <f>IF('App Log'!I129="","",'App Log'!I129)</f>
      </c>
      <c r="S129" s="5">
        <f>IF(AND('Actual Game'!I129="",'App Log'!I129=""),"",IF(TRIM('Actual Game'!I129&amp;"")=TRIM('App Log'!I129&amp;""),"MATCH","DIFF"))</f>
      </c>
      <c r="T129" s="5">
        <f>IF('Actual Game'!H129="","",'Actual Game'!H129)</f>
      </c>
      <c r="U129" s="5">
        <f>IF('App Log'!H129="","",'App Log'!H129)</f>
      </c>
      <c r="V129" s="5">
        <f>IF(AND('Actual Game'!H129="",'App Log'!H129=""),"",IF(TRIM('Actual Game'!H129&amp;"")=TRIM('App Log'!H129&amp;""),"MATCH","DIFF"))</f>
      </c>
      <c r="W129" s="5">
        <f>IF('Actual Game'!J129="","",'Actual Game'!J129)</f>
      </c>
      <c r="X129" s="5">
        <f>IF('App Log'!J129="","",'App Log'!J129)</f>
      </c>
      <c r="Y129" s="5">
        <f>IF(AND('Actual Game'!J129="",'App Log'!J129=""),"",IF(TRIM('Actual Game'!J129&amp;"")=TRIM('App Log'!J129&amp;""),"MATCH","DIFF"))</f>
      </c>
      <c r="Z129" s="5">
        <f>IF('Actual Game'!K129="","",'Actual Game'!K129)</f>
      </c>
      <c r="AA129" s="5">
        <f>IF('App Log'!K129="","",'App Log'!K129)</f>
      </c>
      <c r="AB129" s="5">
        <f>IF(AND('Actual Game'!K129="",'App Log'!K129=""),"",IF(TRIM('Actual Game'!K129&amp;"")=TRIM('App Log'!K129&amp;""),"MATCH","DIFF"))</f>
      </c>
      <c r="AC129" s="5">
        <f>IF(AND('Actual Game'!A129="",'App Log'!A129=""),"",IF(COUNTIF(D129:AB129,"DIFF")=0,"MATCH","CHECK"))</f>
      </c>
    </row>
    <row r="130" ht="19" customHeight="1">
      <c r="A130" s="5"/>
      <c r="B130" s="5">
        <f>IF('Actual Game'!B130="","",'Actual Game'!B130)</f>
      </c>
      <c r="C130" s="5">
        <f>IF('App Log'!B130="","",'App Log'!B130)</f>
      </c>
      <c r="D130" s="5">
        <f>IF(AND('Actual Game'!B130="",'App Log'!B130=""),"",IF(TRIM('Actual Game'!B130&amp;"")=TRIM('App Log'!B130&amp;""),"MATCH","DIFF"))</f>
      </c>
      <c r="E130" s="5">
        <f>IF('Actual Game'!C130="","",'Actual Game'!C130)</f>
      </c>
      <c r="F130" s="5">
        <f>IF('App Log'!C130="","",'App Log'!C130)</f>
      </c>
      <c r="G130" s="5">
        <f>IF(AND('Actual Game'!C130="",'App Log'!C130=""),"",IF(TRIM('Actual Game'!C130&amp;"")=TRIM('App Log'!C130&amp;""),"MATCH","DIFF"))</f>
      </c>
      <c r="H130" s="5">
        <f>IF('Actual Game'!D130="","",'Actual Game'!D130)</f>
      </c>
      <c r="I130" s="5">
        <f>IF('App Log'!D130="","",'App Log'!D130)</f>
      </c>
      <c r="J130" s="5">
        <f>IF(AND('Actual Game'!D130="",'App Log'!D130=""),"",IF(TRIM('Actual Game'!D130&amp;"")=TRIM('App Log'!D130&amp;""),"MATCH","DIFF"))</f>
      </c>
      <c r="K130" s="5">
        <f>IF('Actual Game'!E130="","",'Actual Game'!E130)</f>
      </c>
      <c r="L130" s="5">
        <f>IF('App Log'!E130="","",'App Log'!E130)</f>
      </c>
      <c r="M130" s="5">
        <f>IF(AND('Actual Game'!E130="",'App Log'!E130=""),"",IF(TRIM('Actual Game'!E130&amp;"")=TRIM('App Log'!E130&amp;""),"MATCH","DIFF"))</f>
      </c>
      <c r="N130" s="5">
        <f>IF('Actual Game'!F130="","",'Actual Game'!F130)</f>
      </c>
      <c r="O130" s="5">
        <f>IF('App Log'!F130="","",'App Log'!F130)</f>
      </c>
      <c r="P130" s="5">
        <f>IF(AND('Actual Game'!F130="",'App Log'!F130=""),"",IF(TRIM('Actual Game'!F130&amp;"")=TRIM('App Log'!F130&amp;""),"MATCH","DIFF"))</f>
      </c>
      <c r="Q130" s="5">
        <f>IF('Actual Game'!I130="","",'Actual Game'!I130)</f>
      </c>
      <c r="R130" s="5">
        <f>IF('App Log'!I130="","",'App Log'!I130)</f>
      </c>
      <c r="S130" s="5">
        <f>IF(AND('Actual Game'!I130="",'App Log'!I130=""),"",IF(TRIM('Actual Game'!I130&amp;"")=TRIM('App Log'!I130&amp;""),"MATCH","DIFF"))</f>
      </c>
      <c r="T130" s="5">
        <f>IF('Actual Game'!H130="","",'Actual Game'!H130)</f>
      </c>
      <c r="U130" s="5">
        <f>IF('App Log'!H130="","",'App Log'!H130)</f>
      </c>
      <c r="V130" s="5">
        <f>IF(AND('Actual Game'!H130="",'App Log'!H130=""),"",IF(TRIM('Actual Game'!H130&amp;"")=TRIM('App Log'!H130&amp;""),"MATCH","DIFF"))</f>
      </c>
      <c r="W130" s="5">
        <f>IF('Actual Game'!J130="","",'Actual Game'!J130)</f>
      </c>
      <c r="X130" s="5">
        <f>IF('App Log'!J130="","",'App Log'!J130)</f>
      </c>
      <c r="Y130" s="5">
        <f>IF(AND('Actual Game'!J130="",'App Log'!J130=""),"",IF(TRIM('Actual Game'!J130&amp;"")=TRIM('App Log'!J130&amp;""),"MATCH","DIFF"))</f>
      </c>
      <c r="Z130" s="5">
        <f>IF('Actual Game'!K130="","",'Actual Game'!K130)</f>
      </c>
      <c r="AA130" s="5">
        <f>IF('App Log'!K130="","",'App Log'!K130)</f>
      </c>
      <c r="AB130" s="5">
        <f>IF(AND('Actual Game'!K130="",'App Log'!K130=""),"",IF(TRIM('Actual Game'!K130&amp;"")=TRIM('App Log'!K130&amp;""),"MATCH","DIFF"))</f>
      </c>
      <c r="AC130" s="5">
        <f>IF(AND('Actual Game'!A130="",'App Log'!A130=""),"",IF(COUNTIF(D130:AB130,"DIFF")=0,"MATCH","CHECK"))</f>
      </c>
    </row>
    <row r="131" ht="19" customHeight="1">
      <c r="A131" s="5"/>
      <c r="B131" s="5">
        <f>IF('Actual Game'!B131="","",'Actual Game'!B131)</f>
      </c>
      <c r="C131" s="5">
        <f>IF('App Log'!B131="","",'App Log'!B131)</f>
      </c>
      <c r="D131" s="5">
        <f>IF(AND('Actual Game'!B131="",'App Log'!B131=""),"",IF(TRIM('Actual Game'!B131&amp;"")=TRIM('App Log'!B131&amp;""),"MATCH","DIFF"))</f>
      </c>
      <c r="E131" s="5">
        <f>IF('Actual Game'!C131="","",'Actual Game'!C131)</f>
      </c>
      <c r="F131" s="5">
        <f>IF('App Log'!C131="","",'App Log'!C131)</f>
      </c>
      <c r="G131" s="5">
        <f>IF(AND('Actual Game'!C131="",'App Log'!C131=""),"",IF(TRIM('Actual Game'!C131&amp;"")=TRIM('App Log'!C131&amp;""),"MATCH","DIFF"))</f>
      </c>
      <c r="H131" s="5">
        <f>IF('Actual Game'!D131="","",'Actual Game'!D131)</f>
      </c>
      <c r="I131" s="5">
        <f>IF('App Log'!D131="","",'App Log'!D131)</f>
      </c>
      <c r="J131" s="5">
        <f>IF(AND('Actual Game'!D131="",'App Log'!D131=""),"",IF(TRIM('Actual Game'!D131&amp;"")=TRIM('App Log'!D131&amp;""),"MATCH","DIFF"))</f>
      </c>
      <c r="K131" s="5">
        <f>IF('Actual Game'!E131="","",'Actual Game'!E131)</f>
      </c>
      <c r="L131" s="5">
        <f>IF('App Log'!E131="","",'App Log'!E131)</f>
      </c>
      <c r="M131" s="5">
        <f>IF(AND('Actual Game'!E131="",'App Log'!E131=""),"",IF(TRIM('Actual Game'!E131&amp;"")=TRIM('App Log'!E131&amp;""),"MATCH","DIFF"))</f>
      </c>
      <c r="N131" s="5">
        <f>IF('Actual Game'!F131="","",'Actual Game'!F131)</f>
      </c>
      <c r="O131" s="5">
        <f>IF('App Log'!F131="","",'App Log'!F131)</f>
      </c>
      <c r="P131" s="5">
        <f>IF(AND('Actual Game'!F131="",'App Log'!F131=""),"",IF(TRIM('Actual Game'!F131&amp;"")=TRIM('App Log'!F131&amp;""),"MATCH","DIFF"))</f>
      </c>
      <c r="Q131" s="5">
        <f>IF('Actual Game'!I131="","",'Actual Game'!I131)</f>
      </c>
      <c r="R131" s="5">
        <f>IF('App Log'!I131="","",'App Log'!I131)</f>
      </c>
      <c r="S131" s="5">
        <f>IF(AND('Actual Game'!I131="",'App Log'!I131=""),"",IF(TRIM('Actual Game'!I131&amp;"")=TRIM('App Log'!I131&amp;""),"MATCH","DIFF"))</f>
      </c>
      <c r="T131" s="5">
        <f>IF('Actual Game'!H131="","",'Actual Game'!H131)</f>
      </c>
      <c r="U131" s="5">
        <f>IF('App Log'!H131="","",'App Log'!H131)</f>
      </c>
      <c r="V131" s="5">
        <f>IF(AND('Actual Game'!H131="",'App Log'!H131=""),"",IF(TRIM('Actual Game'!H131&amp;"")=TRIM('App Log'!H131&amp;""),"MATCH","DIFF"))</f>
      </c>
      <c r="W131" s="5">
        <f>IF('Actual Game'!J131="","",'Actual Game'!J131)</f>
      </c>
      <c r="X131" s="5">
        <f>IF('App Log'!J131="","",'App Log'!J131)</f>
      </c>
      <c r="Y131" s="5">
        <f>IF(AND('Actual Game'!J131="",'App Log'!J131=""),"",IF(TRIM('Actual Game'!J131&amp;"")=TRIM('App Log'!J131&amp;""),"MATCH","DIFF"))</f>
      </c>
      <c r="Z131" s="5">
        <f>IF('Actual Game'!K131="","",'Actual Game'!K131)</f>
      </c>
      <c r="AA131" s="5">
        <f>IF('App Log'!K131="","",'App Log'!K131)</f>
      </c>
      <c r="AB131" s="5">
        <f>IF(AND('Actual Game'!K131="",'App Log'!K131=""),"",IF(TRIM('Actual Game'!K131&amp;"")=TRIM('App Log'!K131&amp;""),"MATCH","DIFF"))</f>
      </c>
      <c r="AC131" s="5">
        <f>IF(AND('Actual Game'!A131="",'App Log'!A131=""),"",IF(COUNTIF(D131:AB131,"DIFF")=0,"MATCH","CHECK"))</f>
      </c>
    </row>
    <row r="132" ht="19" customHeight="1">
      <c r="A132" s="5"/>
      <c r="B132" s="5">
        <f>IF('Actual Game'!B132="","",'Actual Game'!B132)</f>
      </c>
      <c r="C132" s="5">
        <f>IF('App Log'!B132="","",'App Log'!B132)</f>
      </c>
      <c r="D132" s="5">
        <f>IF(AND('Actual Game'!B132="",'App Log'!B132=""),"",IF(TRIM('Actual Game'!B132&amp;"")=TRIM('App Log'!B132&amp;""),"MATCH","DIFF"))</f>
      </c>
      <c r="E132" s="5">
        <f>IF('Actual Game'!C132="","",'Actual Game'!C132)</f>
      </c>
      <c r="F132" s="5">
        <f>IF('App Log'!C132="","",'App Log'!C132)</f>
      </c>
      <c r="G132" s="5">
        <f>IF(AND('Actual Game'!C132="",'App Log'!C132=""),"",IF(TRIM('Actual Game'!C132&amp;"")=TRIM('App Log'!C132&amp;""),"MATCH","DIFF"))</f>
      </c>
      <c r="H132" s="5">
        <f>IF('Actual Game'!D132="","",'Actual Game'!D132)</f>
      </c>
      <c r="I132" s="5">
        <f>IF('App Log'!D132="","",'App Log'!D132)</f>
      </c>
      <c r="J132" s="5">
        <f>IF(AND('Actual Game'!D132="",'App Log'!D132=""),"",IF(TRIM('Actual Game'!D132&amp;"")=TRIM('App Log'!D132&amp;""),"MATCH","DIFF"))</f>
      </c>
      <c r="K132" s="5">
        <f>IF('Actual Game'!E132="","",'Actual Game'!E132)</f>
      </c>
      <c r="L132" s="5">
        <f>IF('App Log'!E132="","",'App Log'!E132)</f>
      </c>
      <c r="M132" s="5">
        <f>IF(AND('Actual Game'!E132="",'App Log'!E132=""),"",IF(TRIM('Actual Game'!E132&amp;"")=TRIM('App Log'!E132&amp;""),"MATCH","DIFF"))</f>
      </c>
      <c r="N132" s="5">
        <f>IF('Actual Game'!F132="","",'Actual Game'!F132)</f>
      </c>
      <c r="O132" s="5">
        <f>IF('App Log'!F132="","",'App Log'!F132)</f>
      </c>
      <c r="P132" s="5">
        <f>IF(AND('Actual Game'!F132="",'App Log'!F132=""),"",IF(TRIM('Actual Game'!F132&amp;"")=TRIM('App Log'!F132&amp;""),"MATCH","DIFF"))</f>
      </c>
      <c r="Q132" s="5">
        <f>IF('Actual Game'!I132="","",'Actual Game'!I132)</f>
      </c>
      <c r="R132" s="5">
        <f>IF('App Log'!I132="","",'App Log'!I132)</f>
      </c>
      <c r="S132" s="5">
        <f>IF(AND('Actual Game'!I132="",'App Log'!I132=""),"",IF(TRIM('Actual Game'!I132&amp;"")=TRIM('App Log'!I132&amp;""),"MATCH","DIFF"))</f>
      </c>
      <c r="T132" s="5">
        <f>IF('Actual Game'!H132="","",'Actual Game'!H132)</f>
      </c>
      <c r="U132" s="5">
        <f>IF('App Log'!H132="","",'App Log'!H132)</f>
      </c>
      <c r="V132" s="5">
        <f>IF(AND('Actual Game'!H132="",'App Log'!H132=""),"",IF(TRIM('Actual Game'!H132&amp;"")=TRIM('App Log'!H132&amp;""),"MATCH","DIFF"))</f>
      </c>
      <c r="W132" s="5">
        <f>IF('Actual Game'!J132="","",'Actual Game'!J132)</f>
      </c>
      <c r="X132" s="5">
        <f>IF('App Log'!J132="","",'App Log'!J132)</f>
      </c>
      <c r="Y132" s="5">
        <f>IF(AND('Actual Game'!J132="",'App Log'!J132=""),"",IF(TRIM('Actual Game'!J132&amp;"")=TRIM('App Log'!J132&amp;""),"MATCH","DIFF"))</f>
      </c>
      <c r="Z132" s="5">
        <f>IF('Actual Game'!K132="","",'Actual Game'!K132)</f>
      </c>
      <c r="AA132" s="5">
        <f>IF('App Log'!K132="","",'App Log'!K132)</f>
      </c>
      <c r="AB132" s="5">
        <f>IF(AND('Actual Game'!K132="",'App Log'!K132=""),"",IF(TRIM('Actual Game'!K132&amp;"")=TRIM('App Log'!K132&amp;""),"MATCH","DIFF"))</f>
      </c>
      <c r="AC132" s="5">
        <f>IF(AND('Actual Game'!A132="",'App Log'!A132=""),"",IF(COUNTIF(D132:AB132,"DIFF")=0,"MATCH","CHECK"))</f>
      </c>
    </row>
    <row r="133" ht="19" customHeight="1">
      <c r="A133" s="5"/>
      <c r="B133" s="5">
        <f>IF('Actual Game'!B133="","",'Actual Game'!B133)</f>
      </c>
      <c r="C133" s="5">
        <f>IF('App Log'!B133="","",'App Log'!B133)</f>
      </c>
      <c r="D133" s="5">
        <f>IF(AND('Actual Game'!B133="",'App Log'!B133=""),"",IF(TRIM('Actual Game'!B133&amp;"")=TRIM('App Log'!B133&amp;""),"MATCH","DIFF"))</f>
      </c>
      <c r="E133" s="5">
        <f>IF('Actual Game'!C133="","",'Actual Game'!C133)</f>
      </c>
      <c r="F133" s="5">
        <f>IF('App Log'!C133="","",'App Log'!C133)</f>
      </c>
      <c r="G133" s="5">
        <f>IF(AND('Actual Game'!C133="",'App Log'!C133=""),"",IF(TRIM('Actual Game'!C133&amp;"")=TRIM('App Log'!C133&amp;""),"MATCH","DIFF"))</f>
      </c>
      <c r="H133" s="5">
        <f>IF('Actual Game'!D133="","",'Actual Game'!D133)</f>
      </c>
      <c r="I133" s="5">
        <f>IF('App Log'!D133="","",'App Log'!D133)</f>
      </c>
      <c r="J133" s="5">
        <f>IF(AND('Actual Game'!D133="",'App Log'!D133=""),"",IF(TRIM('Actual Game'!D133&amp;"")=TRIM('App Log'!D133&amp;""),"MATCH","DIFF"))</f>
      </c>
      <c r="K133" s="5">
        <f>IF('Actual Game'!E133="","",'Actual Game'!E133)</f>
      </c>
      <c r="L133" s="5">
        <f>IF('App Log'!E133="","",'App Log'!E133)</f>
      </c>
      <c r="M133" s="5">
        <f>IF(AND('Actual Game'!E133="",'App Log'!E133=""),"",IF(TRIM('Actual Game'!E133&amp;"")=TRIM('App Log'!E133&amp;""),"MATCH","DIFF"))</f>
      </c>
      <c r="N133" s="5">
        <f>IF('Actual Game'!F133="","",'Actual Game'!F133)</f>
      </c>
      <c r="O133" s="5">
        <f>IF('App Log'!F133="","",'App Log'!F133)</f>
      </c>
      <c r="P133" s="5">
        <f>IF(AND('Actual Game'!F133="",'App Log'!F133=""),"",IF(TRIM('Actual Game'!F133&amp;"")=TRIM('App Log'!F133&amp;""),"MATCH","DIFF"))</f>
      </c>
      <c r="Q133" s="5">
        <f>IF('Actual Game'!I133="","",'Actual Game'!I133)</f>
      </c>
      <c r="R133" s="5">
        <f>IF('App Log'!I133="","",'App Log'!I133)</f>
      </c>
      <c r="S133" s="5">
        <f>IF(AND('Actual Game'!I133="",'App Log'!I133=""),"",IF(TRIM('Actual Game'!I133&amp;"")=TRIM('App Log'!I133&amp;""),"MATCH","DIFF"))</f>
      </c>
      <c r="T133" s="5">
        <f>IF('Actual Game'!H133="","",'Actual Game'!H133)</f>
      </c>
      <c r="U133" s="5">
        <f>IF('App Log'!H133="","",'App Log'!H133)</f>
      </c>
      <c r="V133" s="5">
        <f>IF(AND('Actual Game'!H133="",'App Log'!H133=""),"",IF(TRIM('Actual Game'!H133&amp;"")=TRIM('App Log'!H133&amp;""),"MATCH","DIFF"))</f>
      </c>
      <c r="W133" s="5">
        <f>IF('Actual Game'!J133="","",'Actual Game'!J133)</f>
      </c>
      <c r="X133" s="5">
        <f>IF('App Log'!J133="","",'App Log'!J133)</f>
      </c>
      <c r="Y133" s="5">
        <f>IF(AND('Actual Game'!J133="",'App Log'!J133=""),"",IF(TRIM('Actual Game'!J133&amp;"")=TRIM('App Log'!J133&amp;""),"MATCH","DIFF"))</f>
      </c>
      <c r="Z133" s="5">
        <f>IF('Actual Game'!K133="","",'Actual Game'!K133)</f>
      </c>
      <c r="AA133" s="5">
        <f>IF('App Log'!K133="","",'App Log'!K133)</f>
      </c>
      <c r="AB133" s="5">
        <f>IF(AND('Actual Game'!K133="",'App Log'!K133=""),"",IF(TRIM('Actual Game'!K133&amp;"")=TRIM('App Log'!K133&amp;""),"MATCH","DIFF"))</f>
      </c>
      <c r="AC133" s="5">
        <f>IF(AND('Actual Game'!A133="",'App Log'!A133=""),"",IF(COUNTIF(D133:AB133,"DIFF")=0,"MATCH","CHECK"))</f>
      </c>
    </row>
    <row r="134" ht="19" customHeight="1">
      <c r="A134" s="5"/>
      <c r="B134" s="5">
        <f>IF('Actual Game'!B134="","",'Actual Game'!B134)</f>
      </c>
      <c r="C134" s="5">
        <f>IF('App Log'!B134="","",'App Log'!B134)</f>
      </c>
      <c r="D134" s="5">
        <f>IF(AND('Actual Game'!B134="",'App Log'!B134=""),"",IF(TRIM('Actual Game'!B134&amp;"")=TRIM('App Log'!B134&amp;""),"MATCH","DIFF"))</f>
      </c>
      <c r="E134" s="5">
        <f>IF('Actual Game'!C134="","",'Actual Game'!C134)</f>
      </c>
      <c r="F134" s="5">
        <f>IF('App Log'!C134="","",'App Log'!C134)</f>
      </c>
      <c r="G134" s="5">
        <f>IF(AND('Actual Game'!C134="",'App Log'!C134=""),"",IF(TRIM('Actual Game'!C134&amp;"")=TRIM('App Log'!C134&amp;""),"MATCH","DIFF"))</f>
      </c>
      <c r="H134" s="5">
        <f>IF('Actual Game'!D134="","",'Actual Game'!D134)</f>
      </c>
      <c r="I134" s="5">
        <f>IF('App Log'!D134="","",'App Log'!D134)</f>
      </c>
      <c r="J134" s="5">
        <f>IF(AND('Actual Game'!D134="",'App Log'!D134=""),"",IF(TRIM('Actual Game'!D134&amp;"")=TRIM('App Log'!D134&amp;""),"MATCH","DIFF"))</f>
      </c>
      <c r="K134" s="5">
        <f>IF('Actual Game'!E134="","",'Actual Game'!E134)</f>
      </c>
      <c r="L134" s="5">
        <f>IF('App Log'!E134="","",'App Log'!E134)</f>
      </c>
      <c r="M134" s="5">
        <f>IF(AND('Actual Game'!E134="",'App Log'!E134=""),"",IF(TRIM('Actual Game'!E134&amp;"")=TRIM('App Log'!E134&amp;""),"MATCH","DIFF"))</f>
      </c>
      <c r="N134" s="5">
        <f>IF('Actual Game'!F134="","",'Actual Game'!F134)</f>
      </c>
      <c r="O134" s="5">
        <f>IF('App Log'!F134="","",'App Log'!F134)</f>
      </c>
      <c r="P134" s="5">
        <f>IF(AND('Actual Game'!F134="",'App Log'!F134=""),"",IF(TRIM('Actual Game'!F134&amp;"")=TRIM('App Log'!F134&amp;""),"MATCH","DIFF"))</f>
      </c>
      <c r="Q134" s="5">
        <f>IF('Actual Game'!I134="","",'Actual Game'!I134)</f>
      </c>
      <c r="R134" s="5">
        <f>IF('App Log'!I134="","",'App Log'!I134)</f>
      </c>
      <c r="S134" s="5">
        <f>IF(AND('Actual Game'!I134="",'App Log'!I134=""),"",IF(TRIM('Actual Game'!I134&amp;"")=TRIM('App Log'!I134&amp;""),"MATCH","DIFF"))</f>
      </c>
      <c r="T134" s="5">
        <f>IF('Actual Game'!H134="","",'Actual Game'!H134)</f>
      </c>
      <c r="U134" s="5">
        <f>IF('App Log'!H134="","",'App Log'!H134)</f>
      </c>
      <c r="V134" s="5">
        <f>IF(AND('Actual Game'!H134="",'App Log'!H134=""),"",IF(TRIM('Actual Game'!H134&amp;"")=TRIM('App Log'!H134&amp;""),"MATCH","DIFF"))</f>
      </c>
      <c r="W134" s="5">
        <f>IF('Actual Game'!J134="","",'Actual Game'!J134)</f>
      </c>
      <c r="X134" s="5">
        <f>IF('App Log'!J134="","",'App Log'!J134)</f>
      </c>
      <c r="Y134" s="5">
        <f>IF(AND('Actual Game'!J134="",'App Log'!J134=""),"",IF(TRIM('Actual Game'!J134&amp;"")=TRIM('App Log'!J134&amp;""),"MATCH","DIFF"))</f>
      </c>
      <c r="Z134" s="5">
        <f>IF('Actual Game'!K134="","",'Actual Game'!K134)</f>
      </c>
      <c r="AA134" s="5">
        <f>IF('App Log'!K134="","",'App Log'!K134)</f>
      </c>
      <c r="AB134" s="5">
        <f>IF(AND('Actual Game'!K134="",'App Log'!K134=""),"",IF(TRIM('Actual Game'!K134&amp;"")=TRIM('App Log'!K134&amp;""),"MATCH","DIFF"))</f>
      </c>
      <c r="AC134" s="5">
        <f>IF(AND('Actual Game'!A134="",'App Log'!A134=""),"",IF(COUNTIF(D134:AB134,"DIFF")=0,"MATCH","CHECK"))</f>
      </c>
    </row>
    <row r="135" ht="19" customHeight="1">
      <c r="A135" s="5"/>
      <c r="B135" s="5">
        <f>IF('Actual Game'!B135="","",'Actual Game'!B135)</f>
      </c>
      <c r="C135" s="5">
        <f>IF('App Log'!B135="","",'App Log'!B135)</f>
      </c>
      <c r="D135" s="5">
        <f>IF(AND('Actual Game'!B135="",'App Log'!B135=""),"",IF(TRIM('Actual Game'!B135&amp;"")=TRIM('App Log'!B135&amp;""),"MATCH","DIFF"))</f>
      </c>
      <c r="E135" s="5">
        <f>IF('Actual Game'!C135="","",'Actual Game'!C135)</f>
      </c>
      <c r="F135" s="5">
        <f>IF('App Log'!C135="","",'App Log'!C135)</f>
      </c>
      <c r="G135" s="5">
        <f>IF(AND('Actual Game'!C135="",'App Log'!C135=""),"",IF(TRIM('Actual Game'!C135&amp;"")=TRIM('App Log'!C135&amp;""),"MATCH","DIFF"))</f>
      </c>
      <c r="H135" s="5">
        <f>IF('Actual Game'!D135="","",'Actual Game'!D135)</f>
      </c>
      <c r="I135" s="5">
        <f>IF('App Log'!D135="","",'App Log'!D135)</f>
      </c>
      <c r="J135" s="5">
        <f>IF(AND('Actual Game'!D135="",'App Log'!D135=""),"",IF(TRIM('Actual Game'!D135&amp;"")=TRIM('App Log'!D135&amp;""),"MATCH","DIFF"))</f>
      </c>
      <c r="K135" s="5">
        <f>IF('Actual Game'!E135="","",'Actual Game'!E135)</f>
      </c>
      <c r="L135" s="5">
        <f>IF('App Log'!E135="","",'App Log'!E135)</f>
      </c>
      <c r="M135" s="5">
        <f>IF(AND('Actual Game'!E135="",'App Log'!E135=""),"",IF(TRIM('Actual Game'!E135&amp;"")=TRIM('App Log'!E135&amp;""),"MATCH","DIFF"))</f>
      </c>
      <c r="N135" s="5">
        <f>IF('Actual Game'!F135="","",'Actual Game'!F135)</f>
      </c>
      <c r="O135" s="5">
        <f>IF('App Log'!F135="","",'App Log'!F135)</f>
      </c>
      <c r="P135" s="5">
        <f>IF(AND('Actual Game'!F135="",'App Log'!F135=""),"",IF(TRIM('Actual Game'!F135&amp;"")=TRIM('App Log'!F135&amp;""),"MATCH","DIFF"))</f>
      </c>
      <c r="Q135" s="5">
        <f>IF('Actual Game'!I135="","",'Actual Game'!I135)</f>
      </c>
      <c r="R135" s="5">
        <f>IF('App Log'!I135="","",'App Log'!I135)</f>
      </c>
      <c r="S135" s="5">
        <f>IF(AND('Actual Game'!I135="",'App Log'!I135=""),"",IF(TRIM('Actual Game'!I135&amp;"")=TRIM('App Log'!I135&amp;""),"MATCH","DIFF"))</f>
      </c>
      <c r="T135" s="5">
        <f>IF('Actual Game'!H135="","",'Actual Game'!H135)</f>
      </c>
      <c r="U135" s="5">
        <f>IF('App Log'!H135="","",'App Log'!H135)</f>
      </c>
      <c r="V135" s="5">
        <f>IF(AND('Actual Game'!H135="",'App Log'!H135=""),"",IF(TRIM('Actual Game'!H135&amp;"")=TRIM('App Log'!H135&amp;""),"MATCH","DIFF"))</f>
      </c>
      <c r="W135" s="5">
        <f>IF('Actual Game'!J135="","",'Actual Game'!J135)</f>
      </c>
      <c r="X135" s="5">
        <f>IF('App Log'!J135="","",'App Log'!J135)</f>
      </c>
      <c r="Y135" s="5">
        <f>IF(AND('Actual Game'!J135="",'App Log'!J135=""),"",IF(TRIM('Actual Game'!J135&amp;"")=TRIM('App Log'!J135&amp;""),"MATCH","DIFF"))</f>
      </c>
      <c r="Z135" s="5">
        <f>IF('Actual Game'!K135="","",'Actual Game'!K135)</f>
      </c>
      <c r="AA135" s="5">
        <f>IF('App Log'!K135="","",'App Log'!K135)</f>
      </c>
      <c r="AB135" s="5">
        <f>IF(AND('Actual Game'!K135="",'App Log'!K135=""),"",IF(TRIM('Actual Game'!K135&amp;"")=TRIM('App Log'!K135&amp;""),"MATCH","DIFF"))</f>
      </c>
      <c r="AC135" s="5">
        <f>IF(AND('Actual Game'!A135="",'App Log'!A135=""),"",IF(COUNTIF(D135:AB135,"DIFF")=0,"MATCH","CHECK"))</f>
      </c>
    </row>
    <row r="136" ht="19" customHeight="1">
      <c r="A136" s="5"/>
      <c r="B136" s="5">
        <f>IF('Actual Game'!B136="","",'Actual Game'!B136)</f>
      </c>
      <c r="C136" s="5">
        <f>IF('App Log'!B136="","",'App Log'!B136)</f>
      </c>
      <c r="D136" s="5">
        <f>IF(AND('Actual Game'!B136="",'App Log'!B136=""),"",IF(TRIM('Actual Game'!B136&amp;"")=TRIM('App Log'!B136&amp;""),"MATCH","DIFF"))</f>
      </c>
      <c r="E136" s="5">
        <f>IF('Actual Game'!C136="","",'Actual Game'!C136)</f>
      </c>
      <c r="F136" s="5">
        <f>IF('App Log'!C136="","",'App Log'!C136)</f>
      </c>
      <c r="G136" s="5">
        <f>IF(AND('Actual Game'!C136="",'App Log'!C136=""),"",IF(TRIM('Actual Game'!C136&amp;"")=TRIM('App Log'!C136&amp;""),"MATCH","DIFF"))</f>
      </c>
      <c r="H136" s="5">
        <f>IF('Actual Game'!D136="","",'Actual Game'!D136)</f>
      </c>
      <c r="I136" s="5">
        <f>IF('App Log'!D136="","",'App Log'!D136)</f>
      </c>
      <c r="J136" s="5">
        <f>IF(AND('Actual Game'!D136="",'App Log'!D136=""),"",IF(TRIM('Actual Game'!D136&amp;"")=TRIM('App Log'!D136&amp;""),"MATCH","DIFF"))</f>
      </c>
      <c r="K136" s="5">
        <f>IF('Actual Game'!E136="","",'Actual Game'!E136)</f>
      </c>
      <c r="L136" s="5">
        <f>IF('App Log'!E136="","",'App Log'!E136)</f>
      </c>
      <c r="M136" s="5">
        <f>IF(AND('Actual Game'!E136="",'App Log'!E136=""),"",IF(TRIM('Actual Game'!E136&amp;"")=TRIM('App Log'!E136&amp;""),"MATCH","DIFF"))</f>
      </c>
      <c r="N136" s="5">
        <f>IF('Actual Game'!F136="","",'Actual Game'!F136)</f>
      </c>
      <c r="O136" s="5">
        <f>IF('App Log'!F136="","",'App Log'!F136)</f>
      </c>
      <c r="P136" s="5">
        <f>IF(AND('Actual Game'!F136="",'App Log'!F136=""),"",IF(TRIM('Actual Game'!F136&amp;"")=TRIM('App Log'!F136&amp;""),"MATCH","DIFF"))</f>
      </c>
      <c r="Q136" s="5">
        <f>IF('Actual Game'!I136="","",'Actual Game'!I136)</f>
      </c>
      <c r="R136" s="5">
        <f>IF('App Log'!I136="","",'App Log'!I136)</f>
      </c>
      <c r="S136" s="5">
        <f>IF(AND('Actual Game'!I136="",'App Log'!I136=""),"",IF(TRIM('Actual Game'!I136&amp;"")=TRIM('App Log'!I136&amp;""),"MATCH","DIFF"))</f>
      </c>
      <c r="T136" s="5">
        <f>IF('Actual Game'!H136="","",'Actual Game'!H136)</f>
      </c>
      <c r="U136" s="5">
        <f>IF('App Log'!H136="","",'App Log'!H136)</f>
      </c>
      <c r="V136" s="5">
        <f>IF(AND('Actual Game'!H136="",'App Log'!H136=""),"",IF(TRIM('Actual Game'!H136&amp;"")=TRIM('App Log'!H136&amp;""),"MATCH","DIFF"))</f>
      </c>
      <c r="W136" s="5">
        <f>IF('Actual Game'!J136="","",'Actual Game'!J136)</f>
      </c>
      <c r="X136" s="5">
        <f>IF('App Log'!J136="","",'App Log'!J136)</f>
      </c>
      <c r="Y136" s="5">
        <f>IF(AND('Actual Game'!J136="",'App Log'!J136=""),"",IF(TRIM('Actual Game'!J136&amp;"")=TRIM('App Log'!J136&amp;""),"MATCH","DIFF"))</f>
      </c>
      <c r="Z136" s="5">
        <f>IF('Actual Game'!K136="","",'Actual Game'!K136)</f>
      </c>
      <c r="AA136" s="5">
        <f>IF('App Log'!K136="","",'App Log'!K136)</f>
      </c>
      <c r="AB136" s="5">
        <f>IF(AND('Actual Game'!K136="",'App Log'!K136=""),"",IF(TRIM('Actual Game'!K136&amp;"")=TRIM('App Log'!K136&amp;""),"MATCH","DIFF"))</f>
      </c>
      <c r="AC136" s="5">
        <f>IF(AND('Actual Game'!A136="",'App Log'!A136=""),"",IF(COUNTIF(D136:AB136,"DIFF")=0,"MATCH","CHECK"))</f>
      </c>
    </row>
    <row r="137" ht="19" customHeight="1">
      <c r="A137" s="5"/>
      <c r="B137" s="5">
        <f>IF('Actual Game'!B137="","",'Actual Game'!B137)</f>
      </c>
      <c r="C137" s="5">
        <f>IF('App Log'!B137="","",'App Log'!B137)</f>
      </c>
      <c r="D137" s="5">
        <f>IF(AND('Actual Game'!B137="",'App Log'!B137=""),"",IF(TRIM('Actual Game'!B137&amp;"")=TRIM('App Log'!B137&amp;""),"MATCH","DIFF"))</f>
      </c>
      <c r="E137" s="5">
        <f>IF('Actual Game'!C137="","",'Actual Game'!C137)</f>
      </c>
      <c r="F137" s="5">
        <f>IF('App Log'!C137="","",'App Log'!C137)</f>
      </c>
      <c r="G137" s="5">
        <f>IF(AND('Actual Game'!C137="",'App Log'!C137=""),"",IF(TRIM('Actual Game'!C137&amp;"")=TRIM('App Log'!C137&amp;""),"MATCH","DIFF"))</f>
      </c>
      <c r="H137" s="5">
        <f>IF('Actual Game'!D137="","",'Actual Game'!D137)</f>
      </c>
      <c r="I137" s="5">
        <f>IF('App Log'!D137="","",'App Log'!D137)</f>
      </c>
      <c r="J137" s="5">
        <f>IF(AND('Actual Game'!D137="",'App Log'!D137=""),"",IF(TRIM('Actual Game'!D137&amp;"")=TRIM('App Log'!D137&amp;""),"MATCH","DIFF"))</f>
      </c>
      <c r="K137" s="5">
        <f>IF('Actual Game'!E137="","",'Actual Game'!E137)</f>
      </c>
      <c r="L137" s="5">
        <f>IF('App Log'!E137="","",'App Log'!E137)</f>
      </c>
      <c r="M137" s="5">
        <f>IF(AND('Actual Game'!E137="",'App Log'!E137=""),"",IF(TRIM('Actual Game'!E137&amp;"")=TRIM('App Log'!E137&amp;""),"MATCH","DIFF"))</f>
      </c>
      <c r="N137" s="5">
        <f>IF('Actual Game'!F137="","",'Actual Game'!F137)</f>
      </c>
      <c r="O137" s="5">
        <f>IF('App Log'!F137="","",'App Log'!F137)</f>
      </c>
      <c r="P137" s="5">
        <f>IF(AND('Actual Game'!F137="",'App Log'!F137=""),"",IF(TRIM('Actual Game'!F137&amp;"")=TRIM('App Log'!F137&amp;""),"MATCH","DIFF"))</f>
      </c>
      <c r="Q137" s="5">
        <f>IF('Actual Game'!I137="","",'Actual Game'!I137)</f>
      </c>
      <c r="R137" s="5">
        <f>IF('App Log'!I137="","",'App Log'!I137)</f>
      </c>
      <c r="S137" s="5">
        <f>IF(AND('Actual Game'!I137="",'App Log'!I137=""),"",IF(TRIM('Actual Game'!I137&amp;"")=TRIM('App Log'!I137&amp;""),"MATCH","DIFF"))</f>
      </c>
      <c r="T137" s="5">
        <f>IF('Actual Game'!H137="","",'Actual Game'!H137)</f>
      </c>
      <c r="U137" s="5">
        <f>IF('App Log'!H137="","",'App Log'!H137)</f>
      </c>
      <c r="V137" s="5">
        <f>IF(AND('Actual Game'!H137="",'App Log'!H137=""),"",IF(TRIM('Actual Game'!H137&amp;"")=TRIM('App Log'!H137&amp;""),"MATCH","DIFF"))</f>
      </c>
      <c r="W137" s="5">
        <f>IF('Actual Game'!J137="","",'Actual Game'!J137)</f>
      </c>
      <c r="X137" s="5">
        <f>IF('App Log'!J137="","",'App Log'!J137)</f>
      </c>
      <c r="Y137" s="5">
        <f>IF(AND('Actual Game'!J137="",'App Log'!J137=""),"",IF(TRIM('Actual Game'!J137&amp;"")=TRIM('App Log'!J137&amp;""),"MATCH","DIFF"))</f>
      </c>
      <c r="Z137" s="5">
        <f>IF('Actual Game'!K137="","",'Actual Game'!K137)</f>
      </c>
      <c r="AA137" s="5">
        <f>IF('App Log'!K137="","",'App Log'!K137)</f>
      </c>
      <c r="AB137" s="5">
        <f>IF(AND('Actual Game'!K137="",'App Log'!K137=""),"",IF(TRIM('Actual Game'!K137&amp;"")=TRIM('App Log'!K137&amp;""),"MATCH","DIFF"))</f>
      </c>
      <c r="AC137" s="5">
        <f>IF(AND('Actual Game'!A137="",'App Log'!A137=""),"",IF(COUNTIF(D137:AB137,"DIFF")=0,"MATCH","CHECK"))</f>
      </c>
    </row>
    <row r="138" ht="19" customHeight="1">
      <c r="A138" s="5"/>
      <c r="B138" s="5">
        <f>IF('Actual Game'!B138="","",'Actual Game'!B138)</f>
      </c>
      <c r="C138" s="5">
        <f>IF('App Log'!B138="","",'App Log'!B138)</f>
      </c>
      <c r="D138" s="5">
        <f>IF(AND('Actual Game'!B138="",'App Log'!B138=""),"",IF(TRIM('Actual Game'!B138&amp;"")=TRIM('App Log'!B138&amp;""),"MATCH","DIFF"))</f>
      </c>
      <c r="E138" s="5">
        <f>IF('Actual Game'!C138="","",'Actual Game'!C138)</f>
      </c>
      <c r="F138" s="5">
        <f>IF('App Log'!C138="","",'App Log'!C138)</f>
      </c>
      <c r="G138" s="5">
        <f>IF(AND('Actual Game'!C138="",'App Log'!C138=""),"",IF(TRIM('Actual Game'!C138&amp;"")=TRIM('App Log'!C138&amp;""),"MATCH","DIFF"))</f>
      </c>
      <c r="H138" s="5">
        <f>IF('Actual Game'!D138="","",'Actual Game'!D138)</f>
      </c>
      <c r="I138" s="5">
        <f>IF('App Log'!D138="","",'App Log'!D138)</f>
      </c>
      <c r="J138" s="5">
        <f>IF(AND('Actual Game'!D138="",'App Log'!D138=""),"",IF(TRIM('Actual Game'!D138&amp;"")=TRIM('App Log'!D138&amp;""),"MATCH","DIFF"))</f>
      </c>
      <c r="K138" s="5">
        <f>IF('Actual Game'!E138="","",'Actual Game'!E138)</f>
      </c>
      <c r="L138" s="5">
        <f>IF('App Log'!E138="","",'App Log'!E138)</f>
      </c>
      <c r="M138" s="5">
        <f>IF(AND('Actual Game'!E138="",'App Log'!E138=""),"",IF(TRIM('Actual Game'!E138&amp;"")=TRIM('App Log'!E138&amp;""),"MATCH","DIFF"))</f>
      </c>
      <c r="N138" s="5">
        <f>IF('Actual Game'!F138="","",'Actual Game'!F138)</f>
      </c>
      <c r="O138" s="5">
        <f>IF('App Log'!F138="","",'App Log'!F138)</f>
      </c>
      <c r="P138" s="5">
        <f>IF(AND('Actual Game'!F138="",'App Log'!F138=""),"",IF(TRIM('Actual Game'!F138&amp;"")=TRIM('App Log'!F138&amp;""),"MATCH","DIFF"))</f>
      </c>
      <c r="Q138" s="5">
        <f>IF('Actual Game'!I138="","",'Actual Game'!I138)</f>
      </c>
      <c r="R138" s="5">
        <f>IF('App Log'!I138="","",'App Log'!I138)</f>
      </c>
      <c r="S138" s="5">
        <f>IF(AND('Actual Game'!I138="",'App Log'!I138=""),"",IF(TRIM('Actual Game'!I138&amp;"")=TRIM('App Log'!I138&amp;""),"MATCH","DIFF"))</f>
      </c>
      <c r="T138" s="5">
        <f>IF('Actual Game'!H138="","",'Actual Game'!H138)</f>
      </c>
      <c r="U138" s="5">
        <f>IF('App Log'!H138="","",'App Log'!H138)</f>
      </c>
      <c r="V138" s="5">
        <f>IF(AND('Actual Game'!H138="",'App Log'!H138=""),"",IF(TRIM('Actual Game'!H138&amp;"")=TRIM('App Log'!H138&amp;""),"MATCH","DIFF"))</f>
      </c>
      <c r="W138" s="5">
        <f>IF('Actual Game'!J138="","",'Actual Game'!J138)</f>
      </c>
      <c r="X138" s="5">
        <f>IF('App Log'!J138="","",'App Log'!J138)</f>
      </c>
      <c r="Y138" s="5">
        <f>IF(AND('Actual Game'!J138="",'App Log'!J138=""),"",IF(TRIM('Actual Game'!J138&amp;"")=TRIM('App Log'!J138&amp;""),"MATCH","DIFF"))</f>
      </c>
      <c r="Z138" s="5">
        <f>IF('Actual Game'!K138="","",'Actual Game'!K138)</f>
      </c>
      <c r="AA138" s="5">
        <f>IF('App Log'!K138="","",'App Log'!K138)</f>
      </c>
      <c r="AB138" s="5">
        <f>IF(AND('Actual Game'!K138="",'App Log'!K138=""),"",IF(TRIM('Actual Game'!K138&amp;"")=TRIM('App Log'!K138&amp;""),"MATCH","DIFF"))</f>
      </c>
      <c r="AC138" s="5">
        <f>IF(AND('Actual Game'!A138="",'App Log'!A138=""),"",IF(COUNTIF(D138:AB138,"DIFF")=0,"MATCH","CHECK"))</f>
      </c>
    </row>
    <row r="139" ht="19" customHeight="1">
      <c r="A139" s="5"/>
      <c r="B139" s="5">
        <f>IF('Actual Game'!B139="","",'Actual Game'!B139)</f>
      </c>
      <c r="C139" s="5">
        <f>IF('App Log'!B139="","",'App Log'!B139)</f>
      </c>
      <c r="D139" s="5">
        <f>IF(AND('Actual Game'!B139="",'App Log'!B139=""),"",IF(TRIM('Actual Game'!B139&amp;"")=TRIM('App Log'!B139&amp;""),"MATCH","DIFF"))</f>
      </c>
      <c r="E139" s="5">
        <f>IF('Actual Game'!C139="","",'Actual Game'!C139)</f>
      </c>
      <c r="F139" s="5">
        <f>IF('App Log'!C139="","",'App Log'!C139)</f>
      </c>
      <c r="G139" s="5">
        <f>IF(AND('Actual Game'!C139="",'App Log'!C139=""),"",IF(TRIM('Actual Game'!C139&amp;"")=TRIM('App Log'!C139&amp;""),"MATCH","DIFF"))</f>
      </c>
      <c r="H139" s="5">
        <f>IF('Actual Game'!D139="","",'Actual Game'!D139)</f>
      </c>
      <c r="I139" s="5">
        <f>IF('App Log'!D139="","",'App Log'!D139)</f>
      </c>
      <c r="J139" s="5">
        <f>IF(AND('Actual Game'!D139="",'App Log'!D139=""),"",IF(TRIM('Actual Game'!D139&amp;"")=TRIM('App Log'!D139&amp;""),"MATCH","DIFF"))</f>
      </c>
      <c r="K139" s="5">
        <f>IF('Actual Game'!E139="","",'Actual Game'!E139)</f>
      </c>
      <c r="L139" s="5">
        <f>IF('App Log'!E139="","",'App Log'!E139)</f>
      </c>
      <c r="M139" s="5">
        <f>IF(AND('Actual Game'!E139="",'App Log'!E139=""),"",IF(TRIM('Actual Game'!E139&amp;"")=TRIM('App Log'!E139&amp;""),"MATCH","DIFF"))</f>
      </c>
      <c r="N139" s="5">
        <f>IF('Actual Game'!F139="","",'Actual Game'!F139)</f>
      </c>
      <c r="O139" s="5">
        <f>IF('App Log'!F139="","",'App Log'!F139)</f>
      </c>
      <c r="P139" s="5">
        <f>IF(AND('Actual Game'!F139="",'App Log'!F139=""),"",IF(TRIM('Actual Game'!F139&amp;"")=TRIM('App Log'!F139&amp;""),"MATCH","DIFF"))</f>
      </c>
      <c r="Q139" s="5">
        <f>IF('Actual Game'!I139="","",'Actual Game'!I139)</f>
      </c>
      <c r="R139" s="5">
        <f>IF('App Log'!I139="","",'App Log'!I139)</f>
      </c>
      <c r="S139" s="5">
        <f>IF(AND('Actual Game'!I139="",'App Log'!I139=""),"",IF(TRIM('Actual Game'!I139&amp;"")=TRIM('App Log'!I139&amp;""),"MATCH","DIFF"))</f>
      </c>
      <c r="T139" s="5">
        <f>IF('Actual Game'!H139="","",'Actual Game'!H139)</f>
      </c>
      <c r="U139" s="5">
        <f>IF('App Log'!H139="","",'App Log'!H139)</f>
      </c>
      <c r="V139" s="5">
        <f>IF(AND('Actual Game'!H139="",'App Log'!H139=""),"",IF(TRIM('Actual Game'!H139&amp;"")=TRIM('App Log'!H139&amp;""),"MATCH","DIFF"))</f>
      </c>
      <c r="W139" s="5">
        <f>IF('Actual Game'!J139="","",'Actual Game'!J139)</f>
      </c>
      <c r="X139" s="5">
        <f>IF('App Log'!J139="","",'App Log'!J139)</f>
      </c>
      <c r="Y139" s="5">
        <f>IF(AND('Actual Game'!J139="",'App Log'!J139=""),"",IF(TRIM('Actual Game'!J139&amp;"")=TRIM('App Log'!J139&amp;""),"MATCH","DIFF"))</f>
      </c>
      <c r="Z139" s="5">
        <f>IF('Actual Game'!K139="","",'Actual Game'!K139)</f>
      </c>
      <c r="AA139" s="5">
        <f>IF('App Log'!K139="","",'App Log'!K139)</f>
      </c>
      <c r="AB139" s="5">
        <f>IF(AND('Actual Game'!K139="",'App Log'!K139=""),"",IF(TRIM('Actual Game'!K139&amp;"")=TRIM('App Log'!K139&amp;""),"MATCH","DIFF"))</f>
      </c>
      <c r="AC139" s="5">
        <f>IF(AND('Actual Game'!A139="",'App Log'!A139=""),"",IF(COUNTIF(D139:AB139,"DIFF")=0,"MATCH","CHECK"))</f>
      </c>
    </row>
    <row r="140" ht="19" customHeight="1">
      <c r="A140" s="5"/>
      <c r="B140" s="5">
        <f>IF('Actual Game'!B140="","",'Actual Game'!B140)</f>
      </c>
      <c r="C140" s="5">
        <f>IF('App Log'!B140="","",'App Log'!B140)</f>
      </c>
      <c r="D140" s="5">
        <f>IF(AND('Actual Game'!B140="",'App Log'!B140=""),"",IF(TRIM('Actual Game'!B140&amp;"")=TRIM('App Log'!B140&amp;""),"MATCH","DIFF"))</f>
      </c>
      <c r="E140" s="5">
        <f>IF('Actual Game'!C140="","",'Actual Game'!C140)</f>
      </c>
      <c r="F140" s="5">
        <f>IF('App Log'!C140="","",'App Log'!C140)</f>
      </c>
      <c r="G140" s="5">
        <f>IF(AND('Actual Game'!C140="",'App Log'!C140=""),"",IF(TRIM('Actual Game'!C140&amp;"")=TRIM('App Log'!C140&amp;""),"MATCH","DIFF"))</f>
      </c>
      <c r="H140" s="5">
        <f>IF('Actual Game'!D140="","",'Actual Game'!D140)</f>
      </c>
      <c r="I140" s="5">
        <f>IF('App Log'!D140="","",'App Log'!D140)</f>
      </c>
      <c r="J140" s="5">
        <f>IF(AND('Actual Game'!D140="",'App Log'!D140=""),"",IF(TRIM('Actual Game'!D140&amp;"")=TRIM('App Log'!D140&amp;""),"MATCH","DIFF"))</f>
      </c>
      <c r="K140" s="5">
        <f>IF('Actual Game'!E140="","",'Actual Game'!E140)</f>
      </c>
      <c r="L140" s="5">
        <f>IF('App Log'!E140="","",'App Log'!E140)</f>
      </c>
      <c r="M140" s="5">
        <f>IF(AND('Actual Game'!E140="",'App Log'!E140=""),"",IF(TRIM('Actual Game'!E140&amp;"")=TRIM('App Log'!E140&amp;""),"MATCH","DIFF"))</f>
      </c>
      <c r="N140" s="5">
        <f>IF('Actual Game'!F140="","",'Actual Game'!F140)</f>
      </c>
      <c r="O140" s="5">
        <f>IF('App Log'!F140="","",'App Log'!F140)</f>
      </c>
      <c r="P140" s="5">
        <f>IF(AND('Actual Game'!F140="",'App Log'!F140=""),"",IF(TRIM('Actual Game'!F140&amp;"")=TRIM('App Log'!F140&amp;""),"MATCH","DIFF"))</f>
      </c>
      <c r="Q140" s="5">
        <f>IF('Actual Game'!I140="","",'Actual Game'!I140)</f>
      </c>
      <c r="R140" s="5">
        <f>IF('App Log'!I140="","",'App Log'!I140)</f>
      </c>
      <c r="S140" s="5">
        <f>IF(AND('Actual Game'!I140="",'App Log'!I140=""),"",IF(TRIM('Actual Game'!I140&amp;"")=TRIM('App Log'!I140&amp;""),"MATCH","DIFF"))</f>
      </c>
      <c r="T140" s="5">
        <f>IF('Actual Game'!H140="","",'Actual Game'!H140)</f>
      </c>
      <c r="U140" s="5">
        <f>IF('App Log'!H140="","",'App Log'!H140)</f>
      </c>
      <c r="V140" s="5">
        <f>IF(AND('Actual Game'!H140="",'App Log'!H140=""),"",IF(TRIM('Actual Game'!H140&amp;"")=TRIM('App Log'!H140&amp;""),"MATCH","DIFF"))</f>
      </c>
      <c r="W140" s="5">
        <f>IF('Actual Game'!J140="","",'Actual Game'!J140)</f>
      </c>
      <c r="X140" s="5">
        <f>IF('App Log'!J140="","",'App Log'!J140)</f>
      </c>
      <c r="Y140" s="5">
        <f>IF(AND('Actual Game'!J140="",'App Log'!J140=""),"",IF(TRIM('Actual Game'!J140&amp;"")=TRIM('App Log'!J140&amp;""),"MATCH","DIFF"))</f>
      </c>
      <c r="Z140" s="5">
        <f>IF('Actual Game'!K140="","",'Actual Game'!K140)</f>
      </c>
      <c r="AA140" s="5">
        <f>IF('App Log'!K140="","",'App Log'!K140)</f>
      </c>
      <c r="AB140" s="5">
        <f>IF(AND('Actual Game'!K140="",'App Log'!K140=""),"",IF(TRIM('Actual Game'!K140&amp;"")=TRIM('App Log'!K140&amp;""),"MATCH","DIFF"))</f>
      </c>
      <c r="AC140" s="5">
        <f>IF(AND('Actual Game'!A140="",'App Log'!A140=""),"",IF(COUNTIF(D140:AB140,"DIFF")=0,"MATCH","CHECK"))</f>
      </c>
    </row>
    <row r="141" ht="19" customHeight="1">
      <c r="A141" s="5"/>
      <c r="B141" s="5">
        <f>IF('Actual Game'!B141="","",'Actual Game'!B141)</f>
      </c>
      <c r="C141" s="5">
        <f>IF('App Log'!B141="","",'App Log'!B141)</f>
      </c>
      <c r="D141" s="5">
        <f>IF(AND('Actual Game'!B141="",'App Log'!B141=""),"",IF(TRIM('Actual Game'!B141&amp;"")=TRIM('App Log'!B141&amp;""),"MATCH","DIFF"))</f>
      </c>
      <c r="E141" s="5">
        <f>IF('Actual Game'!C141="","",'Actual Game'!C141)</f>
      </c>
      <c r="F141" s="5">
        <f>IF('App Log'!C141="","",'App Log'!C141)</f>
      </c>
      <c r="G141" s="5">
        <f>IF(AND('Actual Game'!C141="",'App Log'!C141=""),"",IF(TRIM('Actual Game'!C141&amp;"")=TRIM('App Log'!C141&amp;""),"MATCH","DIFF"))</f>
      </c>
      <c r="H141" s="5">
        <f>IF('Actual Game'!D141="","",'Actual Game'!D141)</f>
      </c>
      <c r="I141" s="5">
        <f>IF('App Log'!D141="","",'App Log'!D141)</f>
      </c>
      <c r="J141" s="5">
        <f>IF(AND('Actual Game'!D141="",'App Log'!D141=""),"",IF(TRIM('Actual Game'!D141&amp;"")=TRIM('App Log'!D141&amp;""),"MATCH","DIFF"))</f>
      </c>
      <c r="K141" s="5">
        <f>IF('Actual Game'!E141="","",'Actual Game'!E141)</f>
      </c>
      <c r="L141" s="5">
        <f>IF('App Log'!E141="","",'App Log'!E141)</f>
      </c>
      <c r="M141" s="5">
        <f>IF(AND('Actual Game'!E141="",'App Log'!E141=""),"",IF(TRIM('Actual Game'!E141&amp;"")=TRIM('App Log'!E141&amp;""),"MATCH","DIFF"))</f>
      </c>
      <c r="N141" s="5">
        <f>IF('Actual Game'!F141="","",'Actual Game'!F141)</f>
      </c>
      <c r="O141" s="5">
        <f>IF('App Log'!F141="","",'App Log'!F141)</f>
      </c>
      <c r="P141" s="5">
        <f>IF(AND('Actual Game'!F141="",'App Log'!F141=""),"",IF(TRIM('Actual Game'!F141&amp;"")=TRIM('App Log'!F141&amp;""),"MATCH","DIFF"))</f>
      </c>
      <c r="Q141" s="5">
        <f>IF('Actual Game'!I141="","",'Actual Game'!I141)</f>
      </c>
      <c r="R141" s="5">
        <f>IF('App Log'!I141="","",'App Log'!I141)</f>
      </c>
      <c r="S141" s="5">
        <f>IF(AND('Actual Game'!I141="",'App Log'!I141=""),"",IF(TRIM('Actual Game'!I141&amp;"")=TRIM('App Log'!I141&amp;""),"MATCH","DIFF"))</f>
      </c>
      <c r="T141" s="5">
        <f>IF('Actual Game'!H141="","",'Actual Game'!H141)</f>
      </c>
      <c r="U141" s="5">
        <f>IF('App Log'!H141="","",'App Log'!H141)</f>
      </c>
      <c r="V141" s="5">
        <f>IF(AND('Actual Game'!H141="",'App Log'!H141=""),"",IF(TRIM('Actual Game'!H141&amp;"")=TRIM('App Log'!H141&amp;""),"MATCH","DIFF"))</f>
      </c>
      <c r="W141" s="5">
        <f>IF('Actual Game'!J141="","",'Actual Game'!J141)</f>
      </c>
      <c r="X141" s="5">
        <f>IF('App Log'!J141="","",'App Log'!J141)</f>
      </c>
      <c r="Y141" s="5">
        <f>IF(AND('Actual Game'!J141="",'App Log'!J141=""),"",IF(TRIM('Actual Game'!J141&amp;"")=TRIM('App Log'!J141&amp;""),"MATCH","DIFF"))</f>
      </c>
      <c r="Z141" s="5">
        <f>IF('Actual Game'!K141="","",'Actual Game'!K141)</f>
      </c>
      <c r="AA141" s="5">
        <f>IF('App Log'!K141="","",'App Log'!K141)</f>
      </c>
      <c r="AB141" s="5">
        <f>IF(AND('Actual Game'!K141="",'App Log'!K141=""),"",IF(TRIM('Actual Game'!K141&amp;"")=TRIM('App Log'!K141&amp;""),"MATCH","DIFF"))</f>
      </c>
      <c r="AC141" s="5">
        <f>IF(AND('Actual Game'!A141="",'App Log'!A141=""),"",IF(COUNTIF(D141:AB141,"DIFF")=0,"MATCH","CHECK"))</f>
      </c>
    </row>
    <row r="142" ht="19" customHeight="1">
      <c r="A142" s="5"/>
      <c r="B142" s="5">
        <f>IF('Actual Game'!B142="","",'Actual Game'!B142)</f>
      </c>
      <c r="C142" s="5">
        <f>IF('App Log'!B142="","",'App Log'!B142)</f>
      </c>
      <c r="D142" s="5">
        <f>IF(AND('Actual Game'!B142="",'App Log'!B142=""),"",IF(TRIM('Actual Game'!B142&amp;"")=TRIM('App Log'!B142&amp;""),"MATCH","DIFF"))</f>
      </c>
      <c r="E142" s="5">
        <f>IF('Actual Game'!C142="","",'Actual Game'!C142)</f>
      </c>
      <c r="F142" s="5">
        <f>IF('App Log'!C142="","",'App Log'!C142)</f>
      </c>
      <c r="G142" s="5">
        <f>IF(AND('Actual Game'!C142="",'App Log'!C142=""),"",IF(TRIM('Actual Game'!C142&amp;"")=TRIM('App Log'!C142&amp;""),"MATCH","DIFF"))</f>
      </c>
      <c r="H142" s="5">
        <f>IF('Actual Game'!D142="","",'Actual Game'!D142)</f>
      </c>
      <c r="I142" s="5">
        <f>IF('App Log'!D142="","",'App Log'!D142)</f>
      </c>
      <c r="J142" s="5">
        <f>IF(AND('Actual Game'!D142="",'App Log'!D142=""),"",IF(TRIM('Actual Game'!D142&amp;"")=TRIM('App Log'!D142&amp;""),"MATCH","DIFF"))</f>
      </c>
      <c r="K142" s="5">
        <f>IF('Actual Game'!E142="","",'Actual Game'!E142)</f>
      </c>
      <c r="L142" s="5">
        <f>IF('App Log'!E142="","",'App Log'!E142)</f>
      </c>
      <c r="M142" s="5">
        <f>IF(AND('Actual Game'!E142="",'App Log'!E142=""),"",IF(TRIM('Actual Game'!E142&amp;"")=TRIM('App Log'!E142&amp;""),"MATCH","DIFF"))</f>
      </c>
      <c r="N142" s="5">
        <f>IF('Actual Game'!F142="","",'Actual Game'!F142)</f>
      </c>
      <c r="O142" s="5">
        <f>IF('App Log'!F142="","",'App Log'!F142)</f>
      </c>
      <c r="P142" s="5">
        <f>IF(AND('Actual Game'!F142="",'App Log'!F142=""),"",IF(TRIM('Actual Game'!F142&amp;"")=TRIM('App Log'!F142&amp;""),"MATCH","DIFF"))</f>
      </c>
      <c r="Q142" s="5">
        <f>IF('Actual Game'!I142="","",'Actual Game'!I142)</f>
      </c>
      <c r="R142" s="5">
        <f>IF('App Log'!I142="","",'App Log'!I142)</f>
      </c>
      <c r="S142" s="5">
        <f>IF(AND('Actual Game'!I142="",'App Log'!I142=""),"",IF(TRIM('Actual Game'!I142&amp;"")=TRIM('App Log'!I142&amp;""),"MATCH","DIFF"))</f>
      </c>
      <c r="T142" s="5">
        <f>IF('Actual Game'!H142="","",'Actual Game'!H142)</f>
      </c>
      <c r="U142" s="5">
        <f>IF('App Log'!H142="","",'App Log'!H142)</f>
      </c>
      <c r="V142" s="5">
        <f>IF(AND('Actual Game'!H142="",'App Log'!H142=""),"",IF(TRIM('Actual Game'!H142&amp;"")=TRIM('App Log'!H142&amp;""),"MATCH","DIFF"))</f>
      </c>
      <c r="W142" s="5">
        <f>IF('Actual Game'!J142="","",'Actual Game'!J142)</f>
      </c>
      <c r="X142" s="5">
        <f>IF('App Log'!J142="","",'App Log'!J142)</f>
      </c>
      <c r="Y142" s="5">
        <f>IF(AND('Actual Game'!J142="",'App Log'!J142=""),"",IF(TRIM('Actual Game'!J142&amp;"")=TRIM('App Log'!J142&amp;""),"MATCH","DIFF"))</f>
      </c>
      <c r="Z142" s="5">
        <f>IF('Actual Game'!K142="","",'Actual Game'!K142)</f>
      </c>
      <c r="AA142" s="5">
        <f>IF('App Log'!K142="","",'App Log'!K142)</f>
      </c>
      <c r="AB142" s="5">
        <f>IF(AND('Actual Game'!K142="",'App Log'!K142=""),"",IF(TRIM('Actual Game'!K142&amp;"")=TRIM('App Log'!K142&amp;""),"MATCH","DIFF"))</f>
      </c>
      <c r="AC142" s="5">
        <f>IF(AND('Actual Game'!A142="",'App Log'!A142=""),"",IF(COUNTIF(D142:AB142,"DIFF")=0,"MATCH","CHECK"))</f>
      </c>
    </row>
    <row r="143" ht="19" customHeight="1">
      <c r="A143" s="5"/>
      <c r="B143" s="5">
        <f>IF('Actual Game'!B143="","",'Actual Game'!B143)</f>
      </c>
      <c r="C143" s="5">
        <f>IF('App Log'!B143="","",'App Log'!B143)</f>
      </c>
      <c r="D143" s="5">
        <f>IF(AND('Actual Game'!B143="",'App Log'!B143=""),"",IF(TRIM('Actual Game'!B143&amp;"")=TRIM('App Log'!B143&amp;""),"MATCH","DIFF"))</f>
      </c>
      <c r="E143" s="5">
        <f>IF('Actual Game'!C143="","",'Actual Game'!C143)</f>
      </c>
      <c r="F143" s="5">
        <f>IF('App Log'!C143="","",'App Log'!C143)</f>
      </c>
      <c r="G143" s="5">
        <f>IF(AND('Actual Game'!C143="",'App Log'!C143=""),"",IF(TRIM('Actual Game'!C143&amp;"")=TRIM('App Log'!C143&amp;""),"MATCH","DIFF"))</f>
      </c>
      <c r="H143" s="5">
        <f>IF('Actual Game'!D143="","",'Actual Game'!D143)</f>
      </c>
      <c r="I143" s="5">
        <f>IF('App Log'!D143="","",'App Log'!D143)</f>
      </c>
      <c r="J143" s="5">
        <f>IF(AND('Actual Game'!D143="",'App Log'!D143=""),"",IF(TRIM('Actual Game'!D143&amp;"")=TRIM('App Log'!D143&amp;""),"MATCH","DIFF"))</f>
      </c>
      <c r="K143" s="5">
        <f>IF('Actual Game'!E143="","",'Actual Game'!E143)</f>
      </c>
      <c r="L143" s="5">
        <f>IF('App Log'!E143="","",'App Log'!E143)</f>
      </c>
      <c r="M143" s="5">
        <f>IF(AND('Actual Game'!E143="",'App Log'!E143=""),"",IF(TRIM('Actual Game'!E143&amp;"")=TRIM('App Log'!E143&amp;""),"MATCH","DIFF"))</f>
      </c>
      <c r="N143" s="5">
        <f>IF('Actual Game'!F143="","",'Actual Game'!F143)</f>
      </c>
      <c r="O143" s="5">
        <f>IF('App Log'!F143="","",'App Log'!F143)</f>
      </c>
      <c r="P143" s="5">
        <f>IF(AND('Actual Game'!F143="",'App Log'!F143=""),"",IF(TRIM('Actual Game'!F143&amp;"")=TRIM('App Log'!F143&amp;""),"MATCH","DIFF"))</f>
      </c>
      <c r="Q143" s="5">
        <f>IF('Actual Game'!I143="","",'Actual Game'!I143)</f>
      </c>
      <c r="R143" s="5">
        <f>IF('App Log'!I143="","",'App Log'!I143)</f>
      </c>
      <c r="S143" s="5">
        <f>IF(AND('Actual Game'!I143="",'App Log'!I143=""),"",IF(TRIM('Actual Game'!I143&amp;"")=TRIM('App Log'!I143&amp;""),"MATCH","DIFF"))</f>
      </c>
      <c r="T143" s="5">
        <f>IF('Actual Game'!H143="","",'Actual Game'!H143)</f>
      </c>
      <c r="U143" s="5">
        <f>IF('App Log'!H143="","",'App Log'!H143)</f>
      </c>
      <c r="V143" s="5">
        <f>IF(AND('Actual Game'!H143="",'App Log'!H143=""),"",IF(TRIM('Actual Game'!H143&amp;"")=TRIM('App Log'!H143&amp;""),"MATCH","DIFF"))</f>
      </c>
      <c r="W143" s="5">
        <f>IF('Actual Game'!J143="","",'Actual Game'!J143)</f>
      </c>
      <c r="X143" s="5">
        <f>IF('App Log'!J143="","",'App Log'!J143)</f>
      </c>
      <c r="Y143" s="5">
        <f>IF(AND('Actual Game'!J143="",'App Log'!J143=""),"",IF(TRIM('Actual Game'!J143&amp;"")=TRIM('App Log'!J143&amp;""),"MATCH","DIFF"))</f>
      </c>
      <c r="Z143" s="5">
        <f>IF('Actual Game'!K143="","",'Actual Game'!K143)</f>
      </c>
      <c r="AA143" s="5">
        <f>IF('App Log'!K143="","",'App Log'!K143)</f>
      </c>
      <c r="AB143" s="5">
        <f>IF(AND('Actual Game'!K143="",'App Log'!K143=""),"",IF(TRIM('Actual Game'!K143&amp;"")=TRIM('App Log'!K143&amp;""),"MATCH","DIFF"))</f>
      </c>
      <c r="AC143" s="5">
        <f>IF(AND('Actual Game'!A143="",'App Log'!A143=""),"",IF(COUNTIF(D143:AB143,"DIFF")=0,"MATCH","CHECK"))</f>
      </c>
    </row>
    <row r="144" ht="19" customHeight="1">
      <c r="A144" s="5"/>
      <c r="B144" s="5">
        <f>IF('Actual Game'!B144="","",'Actual Game'!B144)</f>
      </c>
      <c r="C144" s="5">
        <f>IF('App Log'!B144="","",'App Log'!B144)</f>
      </c>
      <c r="D144" s="5">
        <f>IF(AND('Actual Game'!B144="",'App Log'!B144=""),"",IF(TRIM('Actual Game'!B144&amp;"")=TRIM('App Log'!B144&amp;""),"MATCH","DIFF"))</f>
      </c>
      <c r="E144" s="5">
        <f>IF('Actual Game'!C144="","",'Actual Game'!C144)</f>
      </c>
      <c r="F144" s="5">
        <f>IF('App Log'!C144="","",'App Log'!C144)</f>
      </c>
      <c r="G144" s="5">
        <f>IF(AND('Actual Game'!C144="",'App Log'!C144=""),"",IF(TRIM('Actual Game'!C144&amp;"")=TRIM('App Log'!C144&amp;""),"MATCH","DIFF"))</f>
      </c>
      <c r="H144" s="5">
        <f>IF('Actual Game'!D144="","",'Actual Game'!D144)</f>
      </c>
      <c r="I144" s="5">
        <f>IF('App Log'!D144="","",'App Log'!D144)</f>
      </c>
      <c r="J144" s="5">
        <f>IF(AND('Actual Game'!D144="",'App Log'!D144=""),"",IF(TRIM('Actual Game'!D144&amp;"")=TRIM('App Log'!D144&amp;""),"MATCH","DIFF"))</f>
      </c>
      <c r="K144" s="5">
        <f>IF('Actual Game'!E144="","",'Actual Game'!E144)</f>
      </c>
      <c r="L144" s="5">
        <f>IF('App Log'!E144="","",'App Log'!E144)</f>
      </c>
      <c r="M144" s="5">
        <f>IF(AND('Actual Game'!E144="",'App Log'!E144=""),"",IF(TRIM('Actual Game'!E144&amp;"")=TRIM('App Log'!E144&amp;""),"MATCH","DIFF"))</f>
      </c>
      <c r="N144" s="5">
        <f>IF('Actual Game'!F144="","",'Actual Game'!F144)</f>
      </c>
      <c r="O144" s="5">
        <f>IF('App Log'!F144="","",'App Log'!F144)</f>
      </c>
      <c r="P144" s="5">
        <f>IF(AND('Actual Game'!F144="",'App Log'!F144=""),"",IF(TRIM('Actual Game'!F144&amp;"")=TRIM('App Log'!F144&amp;""),"MATCH","DIFF"))</f>
      </c>
      <c r="Q144" s="5">
        <f>IF('Actual Game'!I144="","",'Actual Game'!I144)</f>
      </c>
      <c r="R144" s="5">
        <f>IF('App Log'!I144="","",'App Log'!I144)</f>
      </c>
      <c r="S144" s="5">
        <f>IF(AND('Actual Game'!I144="",'App Log'!I144=""),"",IF(TRIM('Actual Game'!I144&amp;"")=TRIM('App Log'!I144&amp;""),"MATCH","DIFF"))</f>
      </c>
      <c r="T144" s="5">
        <f>IF('Actual Game'!H144="","",'Actual Game'!H144)</f>
      </c>
      <c r="U144" s="5">
        <f>IF('App Log'!H144="","",'App Log'!H144)</f>
      </c>
      <c r="V144" s="5">
        <f>IF(AND('Actual Game'!H144="",'App Log'!H144=""),"",IF(TRIM('Actual Game'!H144&amp;"")=TRIM('App Log'!H144&amp;""),"MATCH","DIFF"))</f>
      </c>
      <c r="W144" s="5">
        <f>IF('Actual Game'!J144="","",'Actual Game'!J144)</f>
      </c>
      <c r="X144" s="5">
        <f>IF('App Log'!J144="","",'App Log'!J144)</f>
      </c>
      <c r="Y144" s="5">
        <f>IF(AND('Actual Game'!J144="",'App Log'!J144=""),"",IF(TRIM('Actual Game'!J144&amp;"")=TRIM('App Log'!J144&amp;""),"MATCH","DIFF"))</f>
      </c>
      <c r="Z144" s="5">
        <f>IF('Actual Game'!K144="","",'Actual Game'!K144)</f>
      </c>
      <c r="AA144" s="5">
        <f>IF('App Log'!K144="","",'App Log'!K144)</f>
      </c>
      <c r="AB144" s="5">
        <f>IF(AND('Actual Game'!K144="",'App Log'!K144=""),"",IF(TRIM('Actual Game'!K144&amp;"")=TRIM('App Log'!K144&amp;""),"MATCH","DIFF"))</f>
      </c>
      <c r="AC144" s="5">
        <f>IF(AND('Actual Game'!A144="",'App Log'!A144=""),"",IF(COUNTIF(D144:AB144,"DIFF")=0,"MATCH","CHECK"))</f>
      </c>
    </row>
    <row r="145" ht="19" customHeight="1">
      <c r="A145" s="5"/>
      <c r="B145" s="5">
        <f>IF('Actual Game'!B145="","",'Actual Game'!B145)</f>
      </c>
      <c r="C145" s="5">
        <f>IF('App Log'!B145="","",'App Log'!B145)</f>
      </c>
      <c r="D145" s="5">
        <f>IF(AND('Actual Game'!B145="",'App Log'!B145=""),"",IF(TRIM('Actual Game'!B145&amp;"")=TRIM('App Log'!B145&amp;""),"MATCH","DIFF"))</f>
      </c>
      <c r="E145" s="5">
        <f>IF('Actual Game'!C145="","",'Actual Game'!C145)</f>
      </c>
      <c r="F145" s="5">
        <f>IF('App Log'!C145="","",'App Log'!C145)</f>
      </c>
      <c r="G145" s="5">
        <f>IF(AND('Actual Game'!C145="",'App Log'!C145=""),"",IF(TRIM('Actual Game'!C145&amp;"")=TRIM('App Log'!C145&amp;""),"MATCH","DIFF"))</f>
      </c>
      <c r="H145" s="5">
        <f>IF('Actual Game'!D145="","",'Actual Game'!D145)</f>
      </c>
      <c r="I145" s="5">
        <f>IF('App Log'!D145="","",'App Log'!D145)</f>
      </c>
      <c r="J145" s="5">
        <f>IF(AND('Actual Game'!D145="",'App Log'!D145=""),"",IF(TRIM('Actual Game'!D145&amp;"")=TRIM('App Log'!D145&amp;""),"MATCH","DIFF"))</f>
      </c>
      <c r="K145" s="5">
        <f>IF('Actual Game'!E145="","",'Actual Game'!E145)</f>
      </c>
      <c r="L145" s="5">
        <f>IF('App Log'!E145="","",'App Log'!E145)</f>
      </c>
      <c r="M145" s="5">
        <f>IF(AND('Actual Game'!E145="",'App Log'!E145=""),"",IF(TRIM('Actual Game'!E145&amp;"")=TRIM('App Log'!E145&amp;""),"MATCH","DIFF"))</f>
      </c>
      <c r="N145" s="5">
        <f>IF('Actual Game'!F145="","",'Actual Game'!F145)</f>
      </c>
      <c r="O145" s="5">
        <f>IF('App Log'!F145="","",'App Log'!F145)</f>
      </c>
      <c r="P145" s="5">
        <f>IF(AND('Actual Game'!F145="",'App Log'!F145=""),"",IF(TRIM('Actual Game'!F145&amp;"")=TRIM('App Log'!F145&amp;""),"MATCH","DIFF"))</f>
      </c>
      <c r="Q145" s="5">
        <f>IF('Actual Game'!I145="","",'Actual Game'!I145)</f>
      </c>
      <c r="R145" s="5">
        <f>IF('App Log'!I145="","",'App Log'!I145)</f>
      </c>
      <c r="S145" s="5">
        <f>IF(AND('Actual Game'!I145="",'App Log'!I145=""),"",IF(TRIM('Actual Game'!I145&amp;"")=TRIM('App Log'!I145&amp;""),"MATCH","DIFF"))</f>
      </c>
      <c r="T145" s="5">
        <f>IF('Actual Game'!H145="","",'Actual Game'!H145)</f>
      </c>
      <c r="U145" s="5">
        <f>IF('App Log'!H145="","",'App Log'!H145)</f>
      </c>
      <c r="V145" s="5">
        <f>IF(AND('Actual Game'!H145="",'App Log'!H145=""),"",IF(TRIM('Actual Game'!H145&amp;"")=TRIM('App Log'!H145&amp;""),"MATCH","DIFF"))</f>
      </c>
      <c r="W145" s="5">
        <f>IF('Actual Game'!J145="","",'Actual Game'!J145)</f>
      </c>
      <c r="X145" s="5">
        <f>IF('App Log'!J145="","",'App Log'!J145)</f>
      </c>
      <c r="Y145" s="5">
        <f>IF(AND('Actual Game'!J145="",'App Log'!J145=""),"",IF(TRIM('Actual Game'!J145&amp;"")=TRIM('App Log'!J145&amp;""),"MATCH","DIFF"))</f>
      </c>
      <c r="Z145" s="5">
        <f>IF('Actual Game'!K145="","",'Actual Game'!K145)</f>
      </c>
      <c r="AA145" s="5">
        <f>IF('App Log'!K145="","",'App Log'!K145)</f>
      </c>
      <c r="AB145" s="5">
        <f>IF(AND('Actual Game'!K145="",'App Log'!K145=""),"",IF(TRIM('Actual Game'!K145&amp;"")=TRIM('App Log'!K145&amp;""),"MATCH","DIFF"))</f>
      </c>
      <c r="AC145" s="5">
        <f>IF(AND('Actual Game'!A145="",'App Log'!A145=""),"",IF(COUNTIF(D145:AB145,"DIFF")=0,"MATCH","CHECK"))</f>
      </c>
    </row>
    <row r="146" ht="19" customHeight="1">
      <c r="A146" s="5"/>
      <c r="B146" s="5">
        <f>IF('Actual Game'!B146="","",'Actual Game'!B146)</f>
      </c>
      <c r="C146" s="5">
        <f>IF('App Log'!B146="","",'App Log'!B146)</f>
      </c>
      <c r="D146" s="5">
        <f>IF(AND('Actual Game'!B146="",'App Log'!B146=""),"",IF(TRIM('Actual Game'!B146&amp;"")=TRIM('App Log'!B146&amp;""),"MATCH","DIFF"))</f>
      </c>
      <c r="E146" s="5">
        <f>IF('Actual Game'!C146="","",'Actual Game'!C146)</f>
      </c>
      <c r="F146" s="5">
        <f>IF('App Log'!C146="","",'App Log'!C146)</f>
      </c>
      <c r="G146" s="5">
        <f>IF(AND('Actual Game'!C146="",'App Log'!C146=""),"",IF(TRIM('Actual Game'!C146&amp;"")=TRIM('App Log'!C146&amp;""),"MATCH","DIFF"))</f>
      </c>
      <c r="H146" s="5">
        <f>IF('Actual Game'!D146="","",'Actual Game'!D146)</f>
      </c>
      <c r="I146" s="5">
        <f>IF('App Log'!D146="","",'App Log'!D146)</f>
      </c>
      <c r="J146" s="5">
        <f>IF(AND('Actual Game'!D146="",'App Log'!D146=""),"",IF(TRIM('Actual Game'!D146&amp;"")=TRIM('App Log'!D146&amp;""),"MATCH","DIFF"))</f>
      </c>
      <c r="K146" s="5">
        <f>IF('Actual Game'!E146="","",'Actual Game'!E146)</f>
      </c>
      <c r="L146" s="5">
        <f>IF('App Log'!E146="","",'App Log'!E146)</f>
      </c>
      <c r="M146" s="5">
        <f>IF(AND('Actual Game'!E146="",'App Log'!E146=""),"",IF(TRIM('Actual Game'!E146&amp;"")=TRIM('App Log'!E146&amp;""),"MATCH","DIFF"))</f>
      </c>
      <c r="N146" s="5">
        <f>IF('Actual Game'!F146="","",'Actual Game'!F146)</f>
      </c>
      <c r="O146" s="5">
        <f>IF('App Log'!F146="","",'App Log'!F146)</f>
      </c>
      <c r="P146" s="5">
        <f>IF(AND('Actual Game'!F146="",'App Log'!F146=""),"",IF(TRIM('Actual Game'!F146&amp;"")=TRIM('App Log'!F146&amp;""),"MATCH","DIFF"))</f>
      </c>
      <c r="Q146" s="5">
        <f>IF('Actual Game'!I146="","",'Actual Game'!I146)</f>
      </c>
      <c r="R146" s="5">
        <f>IF('App Log'!I146="","",'App Log'!I146)</f>
      </c>
      <c r="S146" s="5">
        <f>IF(AND('Actual Game'!I146="",'App Log'!I146=""),"",IF(TRIM('Actual Game'!I146&amp;"")=TRIM('App Log'!I146&amp;""),"MATCH","DIFF"))</f>
      </c>
      <c r="T146" s="5">
        <f>IF('Actual Game'!H146="","",'Actual Game'!H146)</f>
      </c>
      <c r="U146" s="5">
        <f>IF('App Log'!H146="","",'App Log'!H146)</f>
      </c>
      <c r="V146" s="5">
        <f>IF(AND('Actual Game'!H146="",'App Log'!H146=""),"",IF(TRIM('Actual Game'!H146&amp;"")=TRIM('App Log'!H146&amp;""),"MATCH","DIFF"))</f>
      </c>
      <c r="W146" s="5">
        <f>IF('Actual Game'!J146="","",'Actual Game'!J146)</f>
      </c>
      <c r="X146" s="5">
        <f>IF('App Log'!J146="","",'App Log'!J146)</f>
      </c>
      <c r="Y146" s="5">
        <f>IF(AND('Actual Game'!J146="",'App Log'!J146=""),"",IF(TRIM('Actual Game'!J146&amp;"")=TRIM('App Log'!J146&amp;""),"MATCH","DIFF"))</f>
      </c>
      <c r="Z146" s="5">
        <f>IF('Actual Game'!K146="","",'Actual Game'!K146)</f>
      </c>
      <c r="AA146" s="5">
        <f>IF('App Log'!K146="","",'App Log'!K146)</f>
      </c>
      <c r="AB146" s="5">
        <f>IF(AND('Actual Game'!K146="",'App Log'!K146=""),"",IF(TRIM('Actual Game'!K146&amp;"")=TRIM('App Log'!K146&amp;""),"MATCH","DIFF"))</f>
      </c>
      <c r="AC146" s="5">
        <f>IF(AND('Actual Game'!A146="",'App Log'!A146=""),"",IF(COUNTIF(D146:AB146,"DIFF")=0,"MATCH","CHECK"))</f>
      </c>
    </row>
    <row r="147" ht="19" customHeight="1">
      <c r="A147" s="5"/>
      <c r="B147" s="5">
        <f>IF('Actual Game'!B147="","",'Actual Game'!B147)</f>
      </c>
      <c r="C147" s="5">
        <f>IF('App Log'!B147="","",'App Log'!B147)</f>
      </c>
      <c r="D147" s="5">
        <f>IF(AND('Actual Game'!B147="",'App Log'!B147=""),"",IF(TRIM('Actual Game'!B147&amp;"")=TRIM('App Log'!B147&amp;""),"MATCH","DIFF"))</f>
      </c>
      <c r="E147" s="5">
        <f>IF('Actual Game'!C147="","",'Actual Game'!C147)</f>
      </c>
      <c r="F147" s="5">
        <f>IF('App Log'!C147="","",'App Log'!C147)</f>
      </c>
      <c r="G147" s="5">
        <f>IF(AND('Actual Game'!C147="",'App Log'!C147=""),"",IF(TRIM('Actual Game'!C147&amp;"")=TRIM('App Log'!C147&amp;""),"MATCH","DIFF"))</f>
      </c>
      <c r="H147" s="5">
        <f>IF('Actual Game'!D147="","",'Actual Game'!D147)</f>
      </c>
      <c r="I147" s="5">
        <f>IF('App Log'!D147="","",'App Log'!D147)</f>
      </c>
      <c r="J147" s="5">
        <f>IF(AND('Actual Game'!D147="",'App Log'!D147=""),"",IF(TRIM('Actual Game'!D147&amp;"")=TRIM('App Log'!D147&amp;""),"MATCH","DIFF"))</f>
      </c>
      <c r="K147" s="5">
        <f>IF('Actual Game'!E147="","",'Actual Game'!E147)</f>
      </c>
      <c r="L147" s="5">
        <f>IF('App Log'!E147="","",'App Log'!E147)</f>
      </c>
      <c r="M147" s="5">
        <f>IF(AND('Actual Game'!E147="",'App Log'!E147=""),"",IF(TRIM('Actual Game'!E147&amp;"")=TRIM('App Log'!E147&amp;""),"MATCH","DIFF"))</f>
      </c>
      <c r="N147" s="5">
        <f>IF('Actual Game'!F147="","",'Actual Game'!F147)</f>
      </c>
      <c r="O147" s="5">
        <f>IF('App Log'!F147="","",'App Log'!F147)</f>
      </c>
      <c r="P147" s="5">
        <f>IF(AND('Actual Game'!F147="",'App Log'!F147=""),"",IF(TRIM('Actual Game'!F147&amp;"")=TRIM('App Log'!F147&amp;""),"MATCH","DIFF"))</f>
      </c>
      <c r="Q147" s="5">
        <f>IF('Actual Game'!I147="","",'Actual Game'!I147)</f>
      </c>
      <c r="R147" s="5">
        <f>IF('App Log'!I147="","",'App Log'!I147)</f>
      </c>
      <c r="S147" s="5">
        <f>IF(AND('Actual Game'!I147="",'App Log'!I147=""),"",IF(TRIM('Actual Game'!I147&amp;"")=TRIM('App Log'!I147&amp;""),"MATCH","DIFF"))</f>
      </c>
      <c r="T147" s="5">
        <f>IF('Actual Game'!H147="","",'Actual Game'!H147)</f>
      </c>
      <c r="U147" s="5">
        <f>IF('App Log'!H147="","",'App Log'!H147)</f>
      </c>
      <c r="V147" s="5">
        <f>IF(AND('Actual Game'!H147="",'App Log'!H147=""),"",IF(TRIM('Actual Game'!H147&amp;"")=TRIM('App Log'!H147&amp;""),"MATCH","DIFF"))</f>
      </c>
      <c r="W147" s="5">
        <f>IF('Actual Game'!J147="","",'Actual Game'!J147)</f>
      </c>
      <c r="X147" s="5">
        <f>IF('App Log'!J147="","",'App Log'!J147)</f>
      </c>
      <c r="Y147" s="5">
        <f>IF(AND('Actual Game'!J147="",'App Log'!J147=""),"",IF(TRIM('Actual Game'!J147&amp;"")=TRIM('App Log'!J147&amp;""),"MATCH","DIFF"))</f>
      </c>
      <c r="Z147" s="5">
        <f>IF('Actual Game'!K147="","",'Actual Game'!K147)</f>
      </c>
      <c r="AA147" s="5">
        <f>IF('App Log'!K147="","",'App Log'!K147)</f>
      </c>
      <c r="AB147" s="5">
        <f>IF(AND('Actual Game'!K147="",'App Log'!K147=""),"",IF(TRIM('Actual Game'!K147&amp;"")=TRIM('App Log'!K147&amp;""),"MATCH","DIFF"))</f>
      </c>
      <c r="AC147" s="5">
        <f>IF(AND('Actual Game'!A147="",'App Log'!A147=""),"",IF(COUNTIF(D147:AB147,"DIFF")=0,"MATCH","CHECK"))</f>
      </c>
    </row>
    <row r="148" ht="19" customHeight="1">
      <c r="A148" s="5"/>
      <c r="B148" s="5">
        <f>IF('Actual Game'!B148="","",'Actual Game'!B148)</f>
      </c>
      <c r="C148" s="5">
        <f>IF('App Log'!B148="","",'App Log'!B148)</f>
      </c>
      <c r="D148" s="5">
        <f>IF(AND('Actual Game'!B148="",'App Log'!B148=""),"",IF(TRIM('Actual Game'!B148&amp;"")=TRIM('App Log'!B148&amp;""),"MATCH","DIFF"))</f>
      </c>
      <c r="E148" s="5">
        <f>IF('Actual Game'!C148="","",'Actual Game'!C148)</f>
      </c>
      <c r="F148" s="5">
        <f>IF('App Log'!C148="","",'App Log'!C148)</f>
      </c>
      <c r="G148" s="5">
        <f>IF(AND('Actual Game'!C148="",'App Log'!C148=""),"",IF(TRIM('Actual Game'!C148&amp;"")=TRIM('App Log'!C148&amp;""),"MATCH","DIFF"))</f>
      </c>
      <c r="H148" s="5">
        <f>IF('Actual Game'!D148="","",'Actual Game'!D148)</f>
      </c>
      <c r="I148" s="5">
        <f>IF('App Log'!D148="","",'App Log'!D148)</f>
      </c>
      <c r="J148" s="5">
        <f>IF(AND('Actual Game'!D148="",'App Log'!D148=""),"",IF(TRIM('Actual Game'!D148&amp;"")=TRIM('App Log'!D148&amp;""),"MATCH","DIFF"))</f>
      </c>
      <c r="K148" s="5">
        <f>IF('Actual Game'!E148="","",'Actual Game'!E148)</f>
      </c>
      <c r="L148" s="5">
        <f>IF('App Log'!E148="","",'App Log'!E148)</f>
      </c>
      <c r="M148" s="5">
        <f>IF(AND('Actual Game'!E148="",'App Log'!E148=""),"",IF(TRIM('Actual Game'!E148&amp;"")=TRIM('App Log'!E148&amp;""),"MATCH","DIFF"))</f>
      </c>
      <c r="N148" s="5">
        <f>IF('Actual Game'!F148="","",'Actual Game'!F148)</f>
      </c>
      <c r="O148" s="5">
        <f>IF('App Log'!F148="","",'App Log'!F148)</f>
      </c>
      <c r="P148" s="5">
        <f>IF(AND('Actual Game'!F148="",'App Log'!F148=""),"",IF(TRIM('Actual Game'!F148&amp;"")=TRIM('App Log'!F148&amp;""),"MATCH","DIFF"))</f>
      </c>
      <c r="Q148" s="5">
        <f>IF('Actual Game'!I148="","",'Actual Game'!I148)</f>
      </c>
      <c r="R148" s="5">
        <f>IF('App Log'!I148="","",'App Log'!I148)</f>
      </c>
      <c r="S148" s="5">
        <f>IF(AND('Actual Game'!I148="",'App Log'!I148=""),"",IF(TRIM('Actual Game'!I148&amp;"")=TRIM('App Log'!I148&amp;""),"MATCH","DIFF"))</f>
      </c>
      <c r="T148" s="5">
        <f>IF('Actual Game'!H148="","",'Actual Game'!H148)</f>
      </c>
      <c r="U148" s="5">
        <f>IF('App Log'!H148="","",'App Log'!H148)</f>
      </c>
      <c r="V148" s="5">
        <f>IF(AND('Actual Game'!H148="",'App Log'!H148=""),"",IF(TRIM('Actual Game'!H148&amp;"")=TRIM('App Log'!H148&amp;""),"MATCH","DIFF"))</f>
      </c>
      <c r="W148" s="5">
        <f>IF('Actual Game'!J148="","",'Actual Game'!J148)</f>
      </c>
      <c r="X148" s="5">
        <f>IF('App Log'!J148="","",'App Log'!J148)</f>
      </c>
      <c r="Y148" s="5">
        <f>IF(AND('Actual Game'!J148="",'App Log'!J148=""),"",IF(TRIM('Actual Game'!J148&amp;"")=TRIM('App Log'!J148&amp;""),"MATCH","DIFF"))</f>
      </c>
      <c r="Z148" s="5">
        <f>IF('Actual Game'!K148="","",'Actual Game'!K148)</f>
      </c>
      <c r="AA148" s="5">
        <f>IF('App Log'!K148="","",'App Log'!K148)</f>
      </c>
      <c r="AB148" s="5">
        <f>IF(AND('Actual Game'!K148="",'App Log'!K148=""),"",IF(TRIM('Actual Game'!K148&amp;"")=TRIM('App Log'!K148&amp;""),"MATCH","DIFF"))</f>
      </c>
      <c r="AC148" s="5">
        <f>IF(AND('Actual Game'!A148="",'App Log'!A148=""),"",IF(COUNTIF(D148:AB148,"DIFF")=0,"MATCH","CHECK"))</f>
      </c>
    </row>
    <row r="149" ht="19" customHeight="1">
      <c r="A149" s="5"/>
      <c r="B149" s="5">
        <f>IF('Actual Game'!B149="","",'Actual Game'!B149)</f>
      </c>
      <c r="C149" s="5">
        <f>IF('App Log'!B149="","",'App Log'!B149)</f>
      </c>
      <c r="D149" s="5">
        <f>IF(AND('Actual Game'!B149="",'App Log'!B149=""),"",IF(TRIM('Actual Game'!B149&amp;"")=TRIM('App Log'!B149&amp;""),"MATCH","DIFF"))</f>
      </c>
      <c r="E149" s="5">
        <f>IF('Actual Game'!C149="","",'Actual Game'!C149)</f>
      </c>
      <c r="F149" s="5">
        <f>IF('App Log'!C149="","",'App Log'!C149)</f>
      </c>
      <c r="G149" s="5">
        <f>IF(AND('Actual Game'!C149="",'App Log'!C149=""),"",IF(TRIM('Actual Game'!C149&amp;"")=TRIM('App Log'!C149&amp;""),"MATCH","DIFF"))</f>
      </c>
      <c r="H149" s="5">
        <f>IF('Actual Game'!D149="","",'Actual Game'!D149)</f>
      </c>
      <c r="I149" s="5">
        <f>IF('App Log'!D149="","",'App Log'!D149)</f>
      </c>
      <c r="J149" s="5">
        <f>IF(AND('Actual Game'!D149="",'App Log'!D149=""),"",IF(TRIM('Actual Game'!D149&amp;"")=TRIM('App Log'!D149&amp;""),"MATCH","DIFF"))</f>
      </c>
      <c r="K149" s="5">
        <f>IF('Actual Game'!E149="","",'Actual Game'!E149)</f>
      </c>
      <c r="L149" s="5">
        <f>IF('App Log'!E149="","",'App Log'!E149)</f>
      </c>
      <c r="M149" s="5">
        <f>IF(AND('Actual Game'!E149="",'App Log'!E149=""),"",IF(TRIM('Actual Game'!E149&amp;"")=TRIM('App Log'!E149&amp;""),"MATCH","DIFF"))</f>
      </c>
      <c r="N149" s="5">
        <f>IF('Actual Game'!F149="","",'Actual Game'!F149)</f>
      </c>
      <c r="O149" s="5">
        <f>IF('App Log'!F149="","",'App Log'!F149)</f>
      </c>
      <c r="P149" s="5">
        <f>IF(AND('Actual Game'!F149="",'App Log'!F149=""),"",IF(TRIM('Actual Game'!F149&amp;"")=TRIM('App Log'!F149&amp;""),"MATCH","DIFF"))</f>
      </c>
      <c r="Q149" s="5">
        <f>IF('Actual Game'!I149="","",'Actual Game'!I149)</f>
      </c>
      <c r="R149" s="5">
        <f>IF('App Log'!I149="","",'App Log'!I149)</f>
      </c>
      <c r="S149" s="5">
        <f>IF(AND('Actual Game'!I149="",'App Log'!I149=""),"",IF(TRIM('Actual Game'!I149&amp;"")=TRIM('App Log'!I149&amp;""),"MATCH","DIFF"))</f>
      </c>
      <c r="T149" s="5">
        <f>IF('Actual Game'!H149="","",'Actual Game'!H149)</f>
      </c>
      <c r="U149" s="5">
        <f>IF('App Log'!H149="","",'App Log'!H149)</f>
      </c>
      <c r="V149" s="5">
        <f>IF(AND('Actual Game'!H149="",'App Log'!H149=""),"",IF(TRIM('Actual Game'!H149&amp;"")=TRIM('App Log'!H149&amp;""),"MATCH","DIFF"))</f>
      </c>
      <c r="W149" s="5">
        <f>IF('Actual Game'!J149="","",'Actual Game'!J149)</f>
      </c>
      <c r="X149" s="5">
        <f>IF('App Log'!J149="","",'App Log'!J149)</f>
      </c>
      <c r="Y149" s="5">
        <f>IF(AND('Actual Game'!J149="",'App Log'!J149=""),"",IF(TRIM('Actual Game'!J149&amp;"")=TRIM('App Log'!J149&amp;""),"MATCH","DIFF"))</f>
      </c>
      <c r="Z149" s="5">
        <f>IF('Actual Game'!K149="","",'Actual Game'!K149)</f>
      </c>
      <c r="AA149" s="5">
        <f>IF('App Log'!K149="","",'App Log'!K149)</f>
      </c>
      <c r="AB149" s="5">
        <f>IF(AND('Actual Game'!K149="",'App Log'!K149=""),"",IF(TRIM('Actual Game'!K149&amp;"")=TRIM('App Log'!K149&amp;""),"MATCH","DIFF"))</f>
      </c>
      <c r="AC149" s="5">
        <f>IF(AND('Actual Game'!A149="",'App Log'!A149=""),"",IF(COUNTIF(D149:AB149,"DIFF")=0,"MATCH","CHECK"))</f>
      </c>
    </row>
    <row r="150" ht="19" customHeight="1">
      <c r="A150" s="5"/>
      <c r="B150" s="5">
        <f>IF('Actual Game'!B150="","",'Actual Game'!B150)</f>
      </c>
      <c r="C150" s="5">
        <f>IF('App Log'!B150="","",'App Log'!B150)</f>
      </c>
      <c r="D150" s="5">
        <f>IF(AND('Actual Game'!B150="",'App Log'!B150=""),"",IF(TRIM('Actual Game'!B150&amp;"")=TRIM('App Log'!B150&amp;""),"MATCH","DIFF"))</f>
      </c>
      <c r="E150" s="5">
        <f>IF('Actual Game'!C150="","",'Actual Game'!C150)</f>
      </c>
      <c r="F150" s="5">
        <f>IF('App Log'!C150="","",'App Log'!C150)</f>
      </c>
      <c r="G150" s="5">
        <f>IF(AND('Actual Game'!C150="",'App Log'!C150=""),"",IF(TRIM('Actual Game'!C150&amp;"")=TRIM('App Log'!C150&amp;""),"MATCH","DIFF"))</f>
      </c>
      <c r="H150" s="5">
        <f>IF('Actual Game'!D150="","",'Actual Game'!D150)</f>
      </c>
      <c r="I150" s="5">
        <f>IF('App Log'!D150="","",'App Log'!D150)</f>
      </c>
      <c r="J150" s="5">
        <f>IF(AND('Actual Game'!D150="",'App Log'!D150=""),"",IF(TRIM('Actual Game'!D150&amp;"")=TRIM('App Log'!D150&amp;""),"MATCH","DIFF"))</f>
      </c>
      <c r="K150" s="5">
        <f>IF('Actual Game'!E150="","",'Actual Game'!E150)</f>
      </c>
      <c r="L150" s="5">
        <f>IF('App Log'!E150="","",'App Log'!E150)</f>
      </c>
      <c r="M150" s="5">
        <f>IF(AND('Actual Game'!E150="",'App Log'!E150=""),"",IF(TRIM('Actual Game'!E150&amp;"")=TRIM('App Log'!E150&amp;""),"MATCH","DIFF"))</f>
      </c>
      <c r="N150" s="5">
        <f>IF('Actual Game'!F150="","",'Actual Game'!F150)</f>
      </c>
      <c r="O150" s="5">
        <f>IF('App Log'!F150="","",'App Log'!F150)</f>
      </c>
      <c r="P150" s="5">
        <f>IF(AND('Actual Game'!F150="",'App Log'!F150=""),"",IF(TRIM('Actual Game'!F150&amp;"")=TRIM('App Log'!F150&amp;""),"MATCH","DIFF"))</f>
      </c>
      <c r="Q150" s="5">
        <f>IF('Actual Game'!I150="","",'Actual Game'!I150)</f>
      </c>
      <c r="R150" s="5">
        <f>IF('App Log'!I150="","",'App Log'!I150)</f>
      </c>
      <c r="S150" s="5">
        <f>IF(AND('Actual Game'!I150="",'App Log'!I150=""),"",IF(TRIM('Actual Game'!I150&amp;"")=TRIM('App Log'!I150&amp;""),"MATCH","DIFF"))</f>
      </c>
      <c r="T150" s="5">
        <f>IF('Actual Game'!H150="","",'Actual Game'!H150)</f>
      </c>
      <c r="U150" s="5">
        <f>IF('App Log'!H150="","",'App Log'!H150)</f>
      </c>
      <c r="V150" s="5">
        <f>IF(AND('Actual Game'!H150="",'App Log'!H150=""),"",IF(TRIM('Actual Game'!H150&amp;"")=TRIM('App Log'!H150&amp;""),"MATCH","DIFF"))</f>
      </c>
      <c r="W150" s="5">
        <f>IF('Actual Game'!J150="","",'Actual Game'!J150)</f>
      </c>
      <c r="X150" s="5">
        <f>IF('App Log'!J150="","",'App Log'!J150)</f>
      </c>
      <c r="Y150" s="5">
        <f>IF(AND('Actual Game'!J150="",'App Log'!J150=""),"",IF(TRIM('Actual Game'!J150&amp;"")=TRIM('App Log'!J150&amp;""),"MATCH","DIFF"))</f>
      </c>
      <c r="Z150" s="5">
        <f>IF('Actual Game'!K150="","",'Actual Game'!K150)</f>
      </c>
      <c r="AA150" s="5">
        <f>IF('App Log'!K150="","",'App Log'!K150)</f>
      </c>
      <c r="AB150" s="5">
        <f>IF(AND('Actual Game'!K150="",'App Log'!K150=""),"",IF(TRIM('Actual Game'!K150&amp;"")=TRIM('App Log'!K150&amp;""),"MATCH","DIFF"))</f>
      </c>
      <c r="AC150" s="5">
        <f>IF(AND('Actual Game'!A150="",'App Log'!A150=""),"",IF(COUNTIF(D150:AB150,"DIFF")=0,"MATCH","CHECK"))</f>
      </c>
    </row>
    <row r="151" ht="19" customHeight="1">
      <c r="A151" s="5"/>
      <c r="B151" s="5">
        <f>IF('Actual Game'!B151="","",'Actual Game'!B151)</f>
      </c>
      <c r="C151" s="5">
        <f>IF('App Log'!B151="","",'App Log'!B151)</f>
      </c>
      <c r="D151" s="5">
        <f>IF(AND('Actual Game'!B151="",'App Log'!B151=""),"",IF(TRIM('Actual Game'!B151&amp;"")=TRIM('App Log'!B151&amp;""),"MATCH","DIFF"))</f>
      </c>
      <c r="E151" s="5">
        <f>IF('Actual Game'!C151="","",'Actual Game'!C151)</f>
      </c>
      <c r="F151" s="5">
        <f>IF('App Log'!C151="","",'App Log'!C151)</f>
      </c>
      <c r="G151" s="5">
        <f>IF(AND('Actual Game'!C151="",'App Log'!C151=""),"",IF(TRIM('Actual Game'!C151&amp;"")=TRIM('App Log'!C151&amp;""),"MATCH","DIFF"))</f>
      </c>
      <c r="H151" s="5">
        <f>IF('Actual Game'!D151="","",'Actual Game'!D151)</f>
      </c>
      <c r="I151" s="5">
        <f>IF('App Log'!D151="","",'App Log'!D151)</f>
      </c>
      <c r="J151" s="5">
        <f>IF(AND('Actual Game'!D151="",'App Log'!D151=""),"",IF(TRIM('Actual Game'!D151&amp;"")=TRIM('App Log'!D151&amp;""),"MATCH","DIFF"))</f>
      </c>
      <c r="K151" s="5">
        <f>IF('Actual Game'!E151="","",'Actual Game'!E151)</f>
      </c>
      <c r="L151" s="5">
        <f>IF('App Log'!E151="","",'App Log'!E151)</f>
      </c>
      <c r="M151" s="5">
        <f>IF(AND('Actual Game'!E151="",'App Log'!E151=""),"",IF(TRIM('Actual Game'!E151&amp;"")=TRIM('App Log'!E151&amp;""),"MATCH","DIFF"))</f>
      </c>
      <c r="N151" s="5">
        <f>IF('Actual Game'!F151="","",'Actual Game'!F151)</f>
      </c>
      <c r="O151" s="5">
        <f>IF('App Log'!F151="","",'App Log'!F151)</f>
      </c>
      <c r="P151" s="5">
        <f>IF(AND('Actual Game'!F151="",'App Log'!F151=""),"",IF(TRIM('Actual Game'!F151&amp;"")=TRIM('App Log'!F151&amp;""),"MATCH","DIFF"))</f>
      </c>
      <c r="Q151" s="5">
        <f>IF('Actual Game'!I151="","",'Actual Game'!I151)</f>
      </c>
      <c r="R151" s="5">
        <f>IF('App Log'!I151="","",'App Log'!I151)</f>
      </c>
      <c r="S151" s="5">
        <f>IF(AND('Actual Game'!I151="",'App Log'!I151=""),"",IF(TRIM('Actual Game'!I151&amp;"")=TRIM('App Log'!I151&amp;""),"MATCH","DIFF"))</f>
      </c>
      <c r="T151" s="5">
        <f>IF('Actual Game'!H151="","",'Actual Game'!H151)</f>
      </c>
      <c r="U151" s="5">
        <f>IF('App Log'!H151="","",'App Log'!H151)</f>
      </c>
      <c r="V151" s="5">
        <f>IF(AND('Actual Game'!H151="",'App Log'!H151=""),"",IF(TRIM('Actual Game'!H151&amp;"")=TRIM('App Log'!H151&amp;""),"MATCH","DIFF"))</f>
      </c>
      <c r="W151" s="5">
        <f>IF('Actual Game'!J151="","",'Actual Game'!J151)</f>
      </c>
      <c r="X151" s="5">
        <f>IF('App Log'!J151="","",'App Log'!J151)</f>
      </c>
      <c r="Y151" s="5">
        <f>IF(AND('Actual Game'!J151="",'App Log'!J151=""),"",IF(TRIM('Actual Game'!J151&amp;"")=TRIM('App Log'!J151&amp;""),"MATCH","DIFF"))</f>
      </c>
      <c r="Z151" s="5">
        <f>IF('Actual Game'!K151="","",'Actual Game'!K151)</f>
      </c>
      <c r="AA151" s="5">
        <f>IF('App Log'!K151="","",'App Log'!K151)</f>
      </c>
      <c r="AB151" s="5">
        <f>IF(AND('Actual Game'!K151="",'App Log'!K151=""),"",IF(TRIM('Actual Game'!K151&amp;"")=TRIM('App Log'!K151&amp;""),"MATCH","DIFF"))</f>
      </c>
      <c r="AC151" s="5">
        <f>IF(AND('Actual Game'!A151="",'App Log'!A151=""),"",IF(COUNTIF(D151:AB151,"DIFF")=0,"MATCH","CHECK"))</f>
      </c>
    </row>
    <row r="152" ht="19" customHeight="1">
      <c r="A152" s="5"/>
      <c r="B152" s="5">
        <f>IF('Actual Game'!B152="","",'Actual Game'!B152)</f>
      </c>
      <c r="C152" s="5">
        <f>IF('App Log'!B152="","",'App Log'!B152)</f>
      </c>
      <c r="D152" s="5">
        <f>IF(AND('Actual Game'!B152="",'App Log'!B152=""),"",IF(TRIM('Actual Game'!B152&amp;"")=TRIM('App Log'!B152&amp;""),"MATCH","DIFF"))</f>
      </c>
      <c r="E152" s="5">
        <f>IF('Actual Game'!C152="","",'Actual Game'!C152)</f>
      </c>
      <c r="F152" s="5">
        <f>IF('App Log'!C152="","",'App Log'!C152)</f>
      </c>
      <c r="G152" s="5">
        <f>IF(AND('Actual Game'!C152="",'App Log'!C152=""),"",IF(TRIM('Actual Game'!C152&amp;"")=TRIM('App Log'!C152&amp;""),"MATCH","DIFF"))</f>
      </c>
      <c r="H152" s="5">
        <f>IF('Actual Game'!D152="","",'Actual Game'!D152)</f>
      </c>
      <c r="I152" s="5">
        <f>IF('App Log'!D152="","",'App Log'!D152)</f>
      </c>
      <c r="J152" s="5">
        <f>IF(AND('Actual Game'!D152="",'App Log'!D152=""),"",IF(TRIM('Actual Game'!D152&amp;"")=TRIM('App Log'!D152&amp;""),"MATCH","DIFF"))</f>
      </c>
      <c r="K152" s="5">
        <f>IF('Actual Game'!E152="","",'Actual Game'!E152)</f>
      </c>
      <c r="L152" s="5">
        <f>IF('App Log'!E152="","",'App Log'!E152)</f>
      </c>
      <c r="M152" s="5">
        <f>IF(AND('Actual Game'!E152="",'App Log'!E152=""),"",IF(TRIM('Actual Game'!E152&amp;"")=TRIM('App Log'!E152&amp;""),"MATCH","DIFF"))</f>
      </c>
      <c r="N152" s="5">
        <f>IF('Actual Game'!F152="","",'Actual Game'!F152)</f>
      </c>
      <c r="O152" s="5">
        <f>IF('App Log'!F152="","",'App Log'!F152)</f>
      </c>
      <c r="P152" s="5">
        <f>IF(AND('Actual Game'!F152="",'App Log'!F152=""),"",IF(TRIM('Actual Game'!F152&amp;"")=TRIM('App Log'!F152&amp;""),"MATCH","DIFF"))</f>
      </c>
      <c r="Q152" s="5">
        <f>IF('Actual Game'!I152="","",'Actual Game'!I152)</f>
      </c>
      <c r="R152" s="5">
        <f>IF('App Log'!I152="","",'App Log'!I152)</f>
      </c>
      <c r="S152" s="5">
        <f>IF(AND('Actual Game'!I152="",'App Log'!I152=""),"",IF(TRIM('Actual Game'!I152&amp;"")=TRIM('App Log'!I152&amp;""),"MATCH","DIFF"))</f>
      </c>
      <c r="T152" s="5">
        <f>IF('Actual Game'!H152="","",'Actual Game'!H152)</f>
      </c>
      <c r="U152" s="5">
        <f>IF('App Log'!H152="","",'App Log'!H152)</f>
      </c>
      <c r="V152" s="5">
        <f>IF(AND('Actual Game'!H152="",'App Log'!H152=""),"",IF(TRIM('Actual Game'!H152&amp;"")=TRIM('App Log'!H152&amp;""),"MATCH","DIFF"))</f>
      </c>
      <c r="W152" s="5">
        <f>IF('Actual Game'!J152="","",'Actual Game'!J152)</f>
      </c>
      <c r="X152" s="5">
        <f>IF('App Log'!J152="","",'App Log'!J152)</f>
      </c>
      <c r="Y152" s="5">
        <f>IF(AND('Actual Game'!J152="",'App Log'!J152=""),"",IF(TRIM('Actual Game'!J152&amp;"")=TRIM('App Log'!J152&amp;""),"MATCH","DIFF"))</f>
      </c>
      <c r="Z152" s="5">
        <f>IF('Actual Game'!K152="","",'Actual Game'!K152)</f>
      </c>
      <c r="AA152" s="5">
        <f>IF('App Log'!K152="","",'App Log'!K152)</f>
      </c>
      <c r="AB152" s="5">
        <f>IF(AND('Actual Game'!K152="",'App Log'!K152=""),"",IF(TRIM('Actual Game'!K152&amp;"")=TRIM('App Log'!K152&amp;""),"MATCH","DIFF"))</f>
      </c>
      <c r="AC152" s="5">
        <f>IF(AND('Actual Game'!A152="",'App Log'!A152=""),"",IF(COUNTIF(D152:AB152,"DIFF")=0,"MATCH","CHECK"))</f>
      </c>
    </row>
    <row r="153" ht="19" customHeight="1">
      <c r="A153" s="5"/>
      <c r="B153" s="5">
        <f>IF('Actual Game'!B153="","",'Actual Game'!B153)</f>
      </c>
      <c r="C153" s="5">
        <f>IF('App Log'!B153="","",'App Log'!B153)</f>
      </c>
      <c r="D153" s="5">
        <f>IF(AND('Actual Game'!B153="",'App Log'!B153=""),"",IF(TRIM('Actual Game'!B153&amp;"")=TRIM('App Log'!B153&amp;""),"MATCH","DIFF"))</f>
      </c>
      <c r="E153" s="5">
        <f>IF('Actual Game'!C153="","",'Actual Game'!C153)</f>
      </c>
      <c r="F153" s="5">
        <f>IF('App Log'!C153="","",'App Log'!C153)</f>
      </c>
      <c r="G153" s="5">
        <f>IF(AND('Actual Game'!C153="",'App Log'!C153=""),"",IF(TRIM('Actual Game'!C153&amp;"")=TRIM('App Log'!C153&amp;""),"MATCH","DIFF"))</f>
      </c>
      <c r="H153" s="5">
        <f>IF('Actual Game'!D153="","",'Actual Game'!D153)</f>
      </c>
      <c r="I153" s="5">
        <f>IF('App Log'!D153="","",'App Log'!D153)</f>
      </c>
      <c r="J153" s="5">
        <f>IF(AND('Actual Game'!D153="",'App Log'!D153=""),"",IF(TRIM('Actual Game'!D153&amp;"")=TRIM('App Log'!D153&amp;""),"MATCH","DIFF"))</f>
      </c>
      <c r="K153" s="5">
        <f>IF('Actual Game'!E153="","",'Actual Game'!E153)</f>
      </c>
      <c r="L153" s="5">
        <f>IF('App Log'!E153="","",'App Log'!E153)</f>
      </c>
      <c r="M153" s="5">
        <f>IF(AND('Actual Game'!E153="",'App Log'!E153=""),"",IF(TRIM('Actual Game'!E153&amp;"")=TRIM('App Log'!E153&amp;""),"MATCH","DIFF"))</f>
      </c>
      <c r="N153" s="5">
        <f>IF('Actual Game'!F153="","",'Actual Game'!F153)</f>
      </c>
      <c r="O153" s="5">
        <f>IF('App Log'!F153="","",'App Log'!F153)</f>
      </c>
      <c r="P153" s="5">
        <f>IF(AND('Actual Game'!F153="",'App Log'!F153=""),"",IF(TRIM('Actual Game'!F153&amp;"")=TRIM('App Log'!F153&amp;""),"MATCH","DIFF"))</f>
      </c>
      <c r="Q153" s="5">
        <f>IF('Actual Game'!I153="","",'Actual Game'!I153)</f>
      </c>
      <c r="R153" s="5">
        <f>IF('App Log'!I153="","",'App Log'!I153)</f>
      </c>
      <c r="S153" s="5">
        <f>IF(AND('Actual Game'!I153="",'App Log'!I153=""),"",IF(TRIM('Actual Game'!I153&amp;"")=TRIM('App Log'!I153&amp;""),"MATCH","DIFF"))</f>
      </c>
      <c r="T153" s="5">
        <f>IF('Actual Game'!H153="","",'Actual Game'!H153)</f>
      </c>
      <c r="U153" s="5">
        <f>IF('App Log'!H153="","",'App Log'!H153)</f>
      </c>
      <c r="V153" s="5">
        <f>IF(AND('Actual Game'!H153="",'App Log'!H153=""),"",IF(TRIM('Actual Game'!H153&amp;"")=TRIM('App Log'!H153&amp;""),"MATCH","DIFF"))</f>
      </c>
      <c r="W153" s="5">
        <f>IF('Actual Game'!J153="","",'Actual Game'!J153)</f>
      </c>
      <c r="X153" s="5">
        <f>IF('App Log'!J153="","",'App Log'!J153)</f>
      </c>
      <c r="Y153" s="5">
        <f>IF(AND('Actual Game'!J153="",'App Log'!J153=""),"",IF(TRIM('Actual Game'!J153&amp;"")=TRIM('App Log'!J153&amp;""),"MATCH","DIFF"))</f>
      </c>
      <c r="Z153" s="5">
        <f>IF('Actual Game'!K153="","",'Actual Game'!K153)</f>
      </c>
      <c r="AA153" s="5">
        <f>IF('App Log'!K153="","",'App Log'!K153)</f>
      </c>
      <c r="AB153" s="5">
        <f>IF(AND('Actual Game'!K153="",'App Log'!K153=""),"",IF(TRIM('Actual Game'!K153&amp;"")=TRIM('App Log'!K153&amp;""),"MATCH","DIFF"))</f>
      </c>
      <c r="AC153" s="5">
        <f>IF(AND('Actual Game'!A153="",'App Log'!A153=""),"",IF(COUNTIF(D153:AB153,"DIFF")=0,"MATCH","CHECK"))</f>
      </c>
    </row>
    <row r="154" ht="19" customHeight="1">
      <c r="A154" s="5"/>
      <c r="B154" s="5">
        <f>IF('Actual Game'!B154="","",'Actual Game'!B154)</f>
      </c>
      <c r="C154" s="5">
        <f>IF('App Log'!B154="","",'App Log'!B154)</f>
      </c>
      <c r="D154" s="5">
        <f>IF(AND('Actual Game'!B154="",'App Log'!B154=""),"",IF(TRIM('Actual Game'!B154&amp;"")=TRIM('App Log'!B154&amp;""),"MATCH","DIFF"))</f>
      </c>
      <c r="E154" s="5">
        <f>IF('Actual Game'!C154="","",'Actual Game'!C154)</f>
      </c>
      <c r="F154" s="5">
        <f>IF('App Log'!C154="","",'App Log'!C154)</f>
      </c>
      <c r="G154" s="5">
        <f>IF(AND('Actual Game'!C154="",'App Log'!C154=""),"",IF(TRIM('Actual Game'!C154&amp;"")=TRIM('App Log'!C154&amp;""),"MATCH","DIFF"))</f>
      </c>
      <c r="H154" s="5">
        <f>IF('Actual Game'!D154="","",'Actual Game'!D154)</f>
      </c>
      <c r="I154" s="5">
        <f>IF('App Log'!D154="","",'App Log'!D154)</f>
      </c>
      <c r="J154" s="5">
        <f>IF(AND('Actual Game'!D154="",'App Log'!D154=""),"",IF(TRIM('Actual Game'!D154&amp;"")=TRIM('App Log'!D154&amp;""),"MATCH","DIFF"))</f>
      </c>
      <c r="K154" s="5">
        <f>IF('Actual Game'!E154="","",'Actual Game'!E154)</f>
      </c>
      <c r="L154" s="5">
        <f>IF('App Log'!E154="","",'App Log'!E154)</f>
      </c>
      <c r="M154" s="5">
        <f>IF(AND('Actual Game'!E154="",'App Log'!E154=""),"",IF(TRIM('Actual Game'!E154&amp;"")=TRIM('App Log'!E154&amp;""),"MATCH","DIFF"))</f>
      </c>
      <c r="N154" s="5">
        <f>IF('Actual Game'!F154="","",'Actual Game'!F154)</f>
      </c>
      <c r="O154" s="5">
        <f>IF('App Log'!F154="","",'App Log'!F154)</f>
      </c>
      <c r="P154" s="5">
        <f>IF(AND('Actual Game'!F154="",'App Log'!F154=""),"",IF(TRIM('Actual Game'!F154&amp;"")=TRIM('App Log'!F154&amp;""),"MATCH","DIFF"))</f>
      </c>
      <c r="Q154" s="5">
        <f>IF('Actual Game'!I154="","",'Actual Game'!I154)</f>
      </c>
      <c r="R154" s="5">
        <f>IF('App Log'!I154="","",'App Log'!I154)</f>
      </c>
      <c r="S154" s="5">
        <f>IF(AND('Actual Game'!I154="",'App Log'!I154=""),"",IF(TRIM('Actual Game'!I154&amp;"")=TRIM('App Log'!I154&amp;""),"MATCH","DIFF"))</f>
      </c>
      <c r="T154" s="5">
        <f>IF('Actual Game'!H154="","",'Actual Game'!H154)</f>
      </c>
      <c r="U154" s="5">
        <f>IF('App Log'!H154="","",'App Log'!H154)</f>
      </c>
      <c r="V154" s="5">
        <f>IF(AND('Actual Game'!H154="",'App Log'!H154=""),"",IF(TRIM('Actual Game'!H154&amp;"")=TRIM('App Log'!H154&amp;""),"MATCH","DIFF"))</f>
      </c>
      <c r="W154" s="5">
        <f>IF('Actual Game'!J154="","",'Actual Game'!J154)</f>
      </c>
      <c r="X154" s="5">
        <f>IF('App Log'!J154="","",'App Log'!J154)</f>
      </c>
      <c r="Y154" s="5">
        <f>IF(AND('Actual Game'!J154="",'App Log'!J154=""),"",IF(TRIM('Actual Game'!J154&amp;"")=TRIM('App Log'!J154&amp;""),"MATCH","DIFF"))</f>
      </c>
      <c r="Z154" s="5">
        <f>IF('Actual Game'!K154="","",'Actual Game'!K154)</f>
      </c>
      <c r="AA154" s="5">
        <f>IF('App Log'!K154="","",'App Log'!K154)</f>
      </c>
      <c r="AB154" s="5">
        <f>IF(AND('Actual Game'!K154="",'App Log'!K154=""),"",IF(TRIM('Actual Game'!K154&amp;"")=TRIM('App Log'!K154&amp;""),"MATCH","DIFF"))</f>
      </c>
      <c r="AC154" s="5">
        <f>IF(AND('Actual Game'!A154="",'App Log'!A154=""),"",IF(COUNTIF(D154:AB154,"DIFF")=0,"MATCH","CHECK"))</f>
      </c>
    </row>
    <row r="155" ht="19" customHeight="1">
      <c r="A155" s="5"/>
      <c r="B155" s="5">
        <f>IF('Actual Game'!B155="","",'Actual Game'!B155)</f>
      </c>
      <c r="C155" s="5">
        <f>IF('App Log'!B155="","",'App Log'!B155)</f>
      </c>
      <c r="D155" s="5">
        <f>IF(AND('Actual Game'!B155="",'App Log'!B155=""),"",IF(TRIM('Actual Game'!B155&amp;"")=TRIM('App Log'!B155&amp;""),"MATCH","DIFF"))</f>
      </c>
      <c r="E155" s="5">
        <f>IF('Actual Game'!C155="","",'Actual Game'!C155)</f>
      </c>
      <c r="F155" s="5">
        <f>IF('App Log'!C155="","",'App Log'!C155)</f>
      </c>
      <c r="G155" s="5">
        <f>IF(AND('Actual Game'!C155="",'App Log'!C155=""),"",IF(TRIM('Actual Game'!C155&amp;"")=TRIM('App Log'!C155&amp;""),"MATCH","DIFF"))</f>
      </c>
      <c r="H155" s="5">
        <f>IF('Actual Game'!D155="","",'Actual Game'!D155)</f>
      </c>
      <c r="I155" s="5">
        <f>IF('App Log'!D155="","",'App Log'!D155)</f>
      </c>
      <c r="J155" s="5">
        <f>IF(AND('Actual Game'!D155="",'App Log'!D155=""),"",IF(TRIM('Actual Game'!D155&amp;"")=TRIM('App Log'!D155&amp;""),"MATCH","DIFF"))</f>
      </c>
      <c r="K155" s="5">
        <f>IF('Actual Game'!E155="","",'Actual Game'!E155)</f>
      </c>
      <c r="L155" s="5">
        <f>IF('App Log'!E155="","",'App Log'!E155)</f>
      </c>
      <c r="M155" s="5">
        <f>IF(AND('Actual Game'!E155="",'App Log'!E155=""),"",IF(TRIM('Actual Game'!E155&amp;"")=TRIM('App Log'!E155&amp;""),"MATCH","DIFF"))</f>
      </c>
      <c r="N155" s="5">
        <f>IF('Actual Game'!F155="","",'Actual Game'!F155)</f>
      </c>
      <c r="O155" s="5">
        <f>IF('App Log'!F155="","",'App Log'!F155)</f>
      </c>
      <c r="P155" s="5">
        <f>IF(AND('Actual Game'!F155="",'App Log'!F155=""),"",IF(TRIM('Actual Game'!F155&amp;"")=TRIM('App Log'!F155&amp;""),"MATCH","DIFF"))</f>
      </c>
      <c r="Q155" s="5">
        <f>IF('Actual Game'!I155="","",'Actual Game'!I155)</f>
      </c>
      <c r="R155" s="5">
        <f>IF('App Log'!I155="","",'App Log'!I155)</f>
      </c>
      <c r="S155" s="5">
        <f>IF(AND('Actual Game'!I155="",'App Log'!I155=""),"",IF(TRIM('Actual Game'!I155&amp;"")=TRIM('App Log'!I155&amp;""),"MATCH","DIFF"))</f>
      </c>
      <c r="T155" s="5">
        <f>IF('Actual Game'!H155="","",'Actual Game'!H155)</f>
      </c>
      <c r="U155" s="5">
        <f>IF('App Log'!H155="","",'App Log'!H155)</f>
      </c>
      <c r="V155" s="5">
        <f>IF(AND('Actual Game'!H155="",'App Log'!H155=""),"",IF(TRIM('Actual Game'!H155&amp;"")=TRIM('App Log'!H155&amp;""),"MATCH","DIFF"))</f>
      </c>
      <c r="W155" s="5">
        <f>IF('Actual Game'!J155="","",'Actual Game'!J155)</f>
      </c>
      <c r="X155" s="5">
        <f>IF('App Log'!J155="","",'App Log'!J155)</f>
      </c>
      <c r="Y155" s="5">
        <f>IF(AND('Actual Game'!J155="",'App Log'!J155=""),"",IF(TRIM('Actual Game'!J155&amp;"")=TRIM('App Log'!J155&amp;""),"MATCH","DIFF"))</f>
      </c>
      <c r="Z155" s="5">
        <f>IF('Actual Game'!K155="","",'Actual Game'!K155)</f>
      </c>
      <c r="AA155" s="5">
        <f>IF('App Log'!K155="","",'App Log'!K155)</f>
      </c>
      <c r="AB155" s="5">
        <f>IF(AND('Actual Game'!K155="",'App Log'!K155=""),"",IF(TRIM('Actual Game'!K155&amp;"")=TRIM('App Log'!K155&amp;""),"MATCH","DIFF"))</f>
      </c>
      <c r="AC155" s="5">
        <f>IF(AND('Actual Game'!A155="",'App Log'!A155=""),"",IF(COUNTIF(D155:AB155,"DIFF")=0,"MATCH","CHECK"))</f>
      </c>
    </row>
    <row r="156" ht="19" customHeight="1">
      <c r="A156" s="5"/>
      <c r="B156" s="5">
        <f>IF('Actual Game'!B156="","",'Actual Game'!B156)</f>
      </c>
      <c r="C156" s="5">
        <f>IF('App Log'!B156="","",'App Log'!B156)</f>
      </c>
      <c r="D156" s="5">
        <f>IF(AND('Actual Game'!B156="",'App Log'!B156=""),"",IF(TRIM('Actual Game'!B156&amp;"")=TRIM('App Log'!B156&amp;""),"MATCH","DIFF"))</f>
      </c>
      <c r="E156" s="5">
        <f>IF('Actual Game'!C156="","",'Actual Game'!C156)</f>
      </c>
      <c r="F156" s="5">
        <f>IF('App Log'!C156="","",'App Log'!C156)</f>
      </c>
      <c r="G156" s="5">
        <f>IF(AND('Actual Game'!C156="",'App Log'!C156=""),"",IF(TRIM('Actual Game'!C156&amp;"")=TRIM('App Log'!C156&amp;""),"MATCH","DIFF"))</f>
      </c>
      <c r="H156" s="5">
        <f>IF('Actual Game'!D156="","",'Actual Game'!D156)</f>
      </c>
      <c r="I156" s="5">
        <f>IF('App Log'!D156="","",'App Log'!D156)</f>
      </c>
      <c r="J156" s="5">
        <f>IF(AND('Actual Game'!D156="",'App Log'!D156=""),"",IF(TRIM('Actual Game'!D156&amp;"")=TRIM('App Log'!D156&amp;""),"MATCH","DIFF"))</f>
      </c>
      <c r="K156" s="5">
        <f>IF('Actual Game'!E156="","",'Actual Game'!E156)</f>
      </c>
      <c r="L156" s="5">
        <f>IF('App Log'!E156="","",'App Log'!E156)</f>
      </c>
      <c r="M156" s="5">
        <f>IF(AND('Actual Game'!E156="",'App Log'!E156=""),"",IF(TRIM('Actual Game'!E156&amp;"")=TRIM('App Log'!E156&amp;""),"MATCH","DIFF"))</f>
      </c>
      <c r="N156" s="5">
        <f>IF('Actual Game'!F156="","",'Actual Game'!F156)</f>
      </c>
      <c r="O156" s="5">
        <f>IF('App Log'!F156="","",'App Log'!F156)</f>
      </c>
      <c r="P156" s="5">
        <f>IF(AND('Actual Game'!F156="",'App Log'!F156=""),"",IF(TRIM('Actual Game'!F156&amp;"")=TRIM('App Log'!F156&amp;""),"MATCH","DIFF"))</f>
      </c>
      <c r="Q156" s="5">
        <f>IF('Actual Game'!I156="","",'Actual Game'!I156)</f>
      </c>
      <c r="R156" s="5">
        <f>IF('App Log'!I156="","",'App Log'!I156)</f>
      </c>
      <c r="S156" s="5">
        <f>IF(AND('Actual Game'!I156="",'App Log'!I156=""),"",IF(TRIM('Actual Game'!I156&amp;"")=TRIM('App Log'!I156&amp;""),"MATCH","DIFF"))</f>
      </c>
      <c r="T156" s="5">
        <f>IF('Actual Game'!H156="","",'Actual Game'!H156)</f>
      </c>
      <c r="U156" s="5">
        <f>IF('App Log'!H156="","",'App Log'!H156)</f>
      </c>
      <c r="V156" s="5">
        <f>IF(AND('Actual Game'!H156="",'App Log'!H156=""),"",IF(TRIM('Actual Game'!H156&amp;"")=TRIM('App Log'!H156&amp;""),"MATCH","DIFF"))</f>
      </c>
      <c r="W156" s="5">
        <f>IF('Actual Game'!J156="","",'Actual Game'!J156)</f>
      </c>
      <c r="X156" s="5">
        <f>IF('App Log'!J156="","",'App Log'!J156)</f>
      </c>
      <c r="Y156" s="5">
        <f>IF(AND('Actual Game'!J156="",'App Log'!J156=""),"",IF(TRIM('Actual Game'!J156&amp;"")=TRIM('App Log'!J156&amp;""),"MATCH","DIFF"))</f>
      </c>
      <c r="Z156" s="5">
        <f>IF('Actual Game'!K156="","",'Actual Game'!K156)</f>
      </c>
      <c r="AA156" s="5">
        <f>IF('App Log'!K156="","",'App Log'!K156)</f>
      </c>
      <c r="AB156" s="5">
        <f>IF(AND('Actual Game'!K156="",'App Log'!K156=""),"",IF(TRIM('Actual Game'!K156&amp;"")=TRIM('App Log'!K156&amp;""),"MATCH","DIFF"))</f>
      </c>
      <c r="AC156" s="5">
        <f>IF(AND('Actual Game'!A156="",'App Log'!A156=""),"",IF(COUNTIF(D156:AB156,"DIFF")=0,"MATCH","CHECK"))</f>
      </c>
    </row>
    <row r="157" ht="19" customHeight="1">
      <c r="A157" s="5"/>
      <c r="B157" s="5">
        <f>IF('Actual Game'!B157="","",'Actual Game'!B157)</f>
      </c>
      <c r="C157" s="5">
        <f>IF('App Log'!B157="","",'App Log'!B157)</f>
      </c>
      <c r="D157" s="5">
        <f>IF(AND('Actual Game'!B157="",'App Log'!B157=""),"",IF(TRIM('Actual Game'!B157&amp;"")=TRIM('App Log'!B157&amp;""),"MATCH","DIFF"))</f>
      </c>
      <c r="E157" s="5">
        <f>IF('Actual Game'!C157="","",'Actual Game'!C157)</f>
      </c>
      <c r="F157" s="5">
        <f>IF('App Log'!C157="","",'App Log'!C157)</f>
      </c>
      <c r="G157" s="5">
        <f>IF(AND('Actual Game'!C157="",'App Log'!C157=""),"",IF(TRIM('Actual Game'!C157&amp;"")=TRIM('App Log'!C157&amp;""),"MATCH","DIFF"))</f>
      </c>
      <c r="H157" s="5">
        <f>IF('Actual Game'!D157="","",'Actual Game'!D157)</f>
      </c>
      <c r="I157" s="5">
        <f>IF('App Log'!D157="","",'App Log'!D157)</f>
      </c>
      <c r="J157" s="5">
        <f>IF(AND('Actual Game'!D157="",'App Log'!D157=""),"",IF(TRIM('Actual Game'!D157&amp;"")=TRIM('App Log'!D157&amp;""),"MATCH","DIFF"))</f>
      </c>
      <c r="K157" s="5">
        <f>IF('Actual Game'!E157="","",'Actual Game'!E157)</f>
      </c>
      <c r="L157" s="5">
        <f>IF('App Log'!E157="","",'App Log'!E157)</f>
      </c>
      <c r="M157" s="5">
        <f>IF(AND('Actual Game'!E157="",'App Log'!E157=""),"",IF(TRIM('Actual Game'!E157&amp;"")=TRIM('App Log'!E157&amp;""),"MATCH","DIFF"))</f>
      </c>
      <c r="N157" s="5">
        <f>IF('Actual Game'!F157="","",'Actual Game'!F157)</f>
      </c>
      <c r="O157" s="5">
        <f>IF('App Log'!F157="","",'App Log'!F157)</f>
      </c>
      <c r="P157" s="5">
        <f>IF(AND('Actual Game'!F157="",'App Log'!F157=""),"",IF(TRIM('Actual Game'!F157&amp;"")=TRIM('App Log'!F157&amp;""),"MATCH","DIFF"))</f>
      </c>
      <c r="Q157" s="5">
        <f>IF('Actual Game'!I157="","",'Actual Game'!I157)</f>
      </c>
      <c r="R157" s="5">
        <f>IF('App Log'!I157="","",'App Log'!I157)</f>
      </c>
      <c r="S157" s="5">
        <f>IF(AND('Actual Game'!I157="",'App Log'!I157=""),"",IF(TRIM('Actual Game'!I157&amp;"")=TRIM('App Log'!I157&amp;""),"MATCH","DIFF"))</f>
      </c>
      <c r="T157" s="5">
        <f>IF('Actual Game'!H157="","",'Actual Game'!H157)</f>
      </c>
      <c r="U157" s="5">
        <f>IF('App Log'!H157="","",'App Log'!H157)</f>
      </c>
      <c r="V157" s="5">
        <f>IF(AND('Actual Game'!H157="",'App Log'!H157=""),"",IF(TRIM('Actual Game'!H157&amp;"")=TRIM('App Log'!H157&amp;""),"MATCH","DIFF"))</f>
      </c>
      <c r="W157" s="5">
        <f>IF('Actual Game'!J157="","",'Actual Game'!J157)</f>
      </c>
      <c r="X157" s="5">
        <f>IF('App Log'!J157="","",'App Log'!J157)</f>
      </c>
      <c r="Y157" s="5">
        <f>IF(AND('Actual Game'!J157="",'App Log'!J157=""),"",IF(TRIM('Actual Game'!J157&amp;"")=TRIM('App Log'!J157&amp;""),"MATCH","DIFF"))</f>
      </c>
      <c r="Z157" s="5">
        <f>IF('Actual Game'!K157="","",'Actual Game'!K157)</f>
      </c>
      <c r="AA157" s="5">
        <f>IF('App Log'!K157="","",'App Log'!K157)</f>
      </c>
      <c r="AB157" s="5">
        <f>IF(AND('Actual Game'!K157="",'App Log'!K157=""),"",IF(TRIM('Actual Game'!K157&amp;"")=TRIM('App Log'!K157&amp;""),"MATCH","DIFF"))</f>
      </c>
      <c r="AC157" s="5">
        <f>IF(AND('Actual Game'!A157="",'App Log'!A157=""),"",IF(COUNTIF(D157:AB157,"DIFF")=0,"MATCH","CHECK"))</f>
      </c>
    </row>
    <row r="158" ht="19" customHeight="1">
      <c r="A158" s="5"/>
      <c r="B158" s="5">
        <f>IF('Actual Game'!B158="","",'Actual Game'!B158)</f>
      </c>
      <c r="C158" s="5">
        <f>IF('App Log'!B158="","",'App Log'!B158)</f>
      </c>
      <c r="D158" s="5">
        <f>IF(AND('Actual Game'!B158="",'App Log'!B158=""),"",IF(TRIM('Actual Game'!B158&amp;"")=TRIM('App Log'!B158&amp;""),"MATCH","DIFF"))</f>
      </c>
      <c r="E158" s="5">
        <f>IF('Actual Game'!C158="","",'Actual Game'!C158)</f>
      </c>
      <c r="F158" s="5">
        <f>IF('App Log'!C158="","",'App Log'!C158)</f>
      </c>
      <c r="G158" s="5">
        <f>IF(AND('Actual Game'!C158="",'App Log'!C158=""),"",IF(TRIM('Actual Game'!C158&amp;"")=TRIM('App Log'!C158&amp;""),"MATCH","DIFF"))</f>
      </c>
      <c r="H158" s="5">
        <f>IF('Actual Game'!D158="","",'Actual Game'!D158)</f>
      </c>
      <c r="I158" s="5">
        <f>IF('App Log'!D158="","",'App Log'!D158)</f>
      </c>
      <c r="J158" s="5">
        <f>IF(AND('Actual Game'!D158="",'App Log'!D158=""),"",IF(TRIM('Actual Game'!D158&amp;"")=TRIM('App Log'!D158&amp;""),"MATCH","DIFF"))</f>
      </c>
      <c r="K158" s="5">
        <f>IF('Actual Game'!E158="","",'Actual Game'!E158)</f>
      </c>
      <c r="L158" s="5">
        <f>IF('App Log'!E158="","",'App Log'!E158)</f>
      </c>
      <c r="M158" s="5">
        <f>IF(AND('Actual Game'!E158="",'App Log'!E158=""),"",IF(TRIM('Actual Game'!E158&amp;"")=TRIM('App Log'!E158&amp;""),"MATCH","DIFF"))</f>
      </c>
      <c r="N158" s="5">
        <f>IF('Actual Game'!F158="","",'Actual Game'!F158)</f>
      </c>
      <c r="O158" s="5">
        <f>IF('App Log'!F158="","",'App Log'!F158)</f>
      </c>
      <c r="P158" s="5">
        <f>IF(AND('Actual Game'!F158="",'App Log'!F158=""),"",IF(TRIM('Actual Game'!F158&amp;"")=TRIM('App Log'!F158&amp;""),"MATCH","DIFF"))</f>
      </c>
      <c r="Q158" s="5">
        <f>IF('Actual Game'!I158="","",'Actual Game'!I158)</f>
      </c>
      <c r="R158" s="5">
        <f>IF('App Log'!I158="","",'App Log'!I158)</f>
      </c>
      <c r="S158" s="5">
        <f>IF(AND('Actual Game'!I158="",'App Log'!I158=""),"",IF(TRIM('Actual Game'!I158&amp;"")=TRIM('App Log'!I158&amp;""),"MATCH","DIFF"))</f>
      </c>
      <c r="T158" s="5">
        <f>IF('Actual Game'!H158="","",'Actual Game'!H158)</f>
      </c>
      <c r="U158" s="5">
        <f>IF('App Log'!H158="","",'App Log'!H158)</f>
      </c>
      <c r="V158" s="5">
        <f>IF(AND('Actual Game'!H158="",'App Log'!H158=""),"",IF(TRIM('Actual Game'!H158&amp;"")=TRIM('App Log'!H158&amp;""),"MATCH","DIFF"))</f>
      </c>
      <c r="W158" s="5">
        <f>IF('Actual Game'!J158="","",'Actual Game'!J158)</f>
      </c>
      <c r="X158" s="5">
        <f>IF('App Log'!J158="","",'App Log'!J158)</f>
      </c>
      <c r="Y158" s="5">
        <f>IF(AND('Actual Game'!J158="",'App Log'!J158=""),"",IF(TRIM('Actual Game'!J158&amp;"")=TRIM('App Log'!J158&amp;""),"MATCH","DIFF"))</f>
      </c>
      <c r="Z158" s="5">
        <f>IF('Actual Game'!K158="","",'Actual Game'!K158)</f>
      </c>
      <c r="AA158" s="5">
        <f>IF('App Log'!K158="","",'App Log'!K158)</f>
      </c>
      <c r="AB158" s="5">
        <f>IF(AND('Actual Game'!K158="",'App Log'!K158=""),"",IF(TRIM('Actual Game'!K158&amp;"")=TRIM('App Log'!K158&amp;""),"MATCH","DIFF"))</f>
      </c>
      <c r="AC158" s="5">
        <f>IF(AND('Actual Game'!A158="",'App Log'!A158=""),"",IF(COUNTIF(D158:AB158,"DIFF")=0,"MATCH","CHECK"))</f>
      </c>
    </row>
    <row r="159" ht="19" customHeight="1">
      <c r="A159" s="5"/>
      <c r="B159" s="5">
        <f>IF('Actual Game'!B159="","",'Actual Game'!B159)</f>
      </c>
      <c r="C159" s="5">
        <f>IF('App Log'!B159="","",'App Log'!B159)</f>
      </c>
      <c r="D159" s="5">
        <f>IF(AND('Actual Game'!B159="",'App Log'!B159=""),"",IF(TRIM('Actual Game'!B159&amp;"")=TRIM('App Log'!B159&amp;""),"MATCH","DIFF"))</f>
      </c>
      <c r="E159" s="5">
        <f>IF('Actual Game'!C159="","",'Actual Game'!C159)</f>
      </c>
      <c r="F159" s="5">
        <f>IF('App Log'!C159="","",'App Log'!C159)</f>
      </c>
      <c r="G159" s="5">
        <f>IF(AND('Actual Game'!C159="",'App Log'!C159=""),"",IF(TRIM('Actual Game'!C159&amp;"")=TRIM('App Log'!C159&amp;""),"MATCH","DIFF"))</f>
      </c>
      <c r="H159" s="5">
        <f>IF('Actual Game'!D159="","",'Actual Game'!D159)</f>
      </c>
      <c r="I159" s="5">
        <f>IF('App Log'!D159="","",'App Log'!D159)</f>
      </c>
      <c r="J159" s="5">
        <f>IF(AND('Actual Game'!D159="",'App Log'!D159=""),"",IF(TRIM('Actual Game'!D159&amp;"")=TRIM('App Log'!D159&amp;""),"MATCH","DIFF"))</f>
      </c>
      <c r="K159" s="5">
        <f>IF('Actual Game'!E159="","",'Actual Game'!E159)</f>
      </c>
      <c r="L159" s="5">
        <f>IF('App Log'!E159="","",'App Log'!E159)</f>
      </c>
      <c r="M159" s="5">
        <f>IF(AND('Actual Game'!E159="",'App Log'!E159=""),"",IF(TRIM('Actual Game'!E159&amp;"")=TRIM('App Log'!E159&amp;""),"MATCH","DIFF"))</f>
      </c>
      <c r="N159" s="5">
        <f>IF('Actual Game'!F159="","",'Actual Game'!F159)</f>
      </c>
      <c r="O159" s="5">
        <f>IF('App Log'!F159="","",'App Log'!F159)</f>
      </c>
      <c r="P159" s="5">
        <f>IF(AND('Actual Game'!F159="",'App Log'!F159=""),"",IF(TRIM('Actual Game'!F159&amp;"")=TRIM('App Log'!F159&amp;""),"MATCH","DIFF"))</f>
      </c>
      <c r="Q159" s="5">
        <f>IF('Actual Game'!I159="","",'Actual Game'!I159)</f>
      </c>
      <c r="R159" s="5">
        <f>IF('App Log'!I159="","",'App Log'!I159)</f>
      </c>
      <c r="S159" s="5">
        <f>IF(AND('Actual Game'!I159="",'App Log'!I159=""),"",IF(TRIM('Actual Game'!I159&amp;"")=TRIM('App Log'!I159&amp;""),"MATCH","DIFF"))</f>
      </c>
      <c r="T159" s="5">
        <f>IF('Actual Game'!H159="","",'Actual Game'!H159)</f>
      </c>
      <c r="U159" s="5">
        <f>IF('App Log'!H159="","",'App Log'!H159)</f>
      </c>
      <c r="V159" s="5">
        <f>IF(AND('Actual Game'!H159="",'App Log'!H159=""),"",IF(TRIM('Actual Game'!H159&amp;"")=TRIM('App Log'!H159&amp;""),"MATCH","DIFF"))</f>
      </c>
      <c r="W159" s="5">
        <f>IF('Actual Game'!J159="","",'Actual Game'!J159)</f>
      </c>
      <c r="X159" s="5">
        <f>IF('App Log'!J159="","",'App Log'!J159)</f>
      </c>
      <c r="Y159" s="5">
        <f>IF(AND('Actual Game'!J159="",'App Log'!J159=""),"",IF(TRIM('Actual Game'!J159&amp;"")=TRIM('App Log'!J159&amp;""),"MATCH","DIFF"))</f>
      </c>
      <c r="Z159" s="5">
        <f>IF('Actual Game'!K159="","",'Actual Game'!K159)</f>
      </c>
      <c r="AA159" s="5">
        <f>IF('App Log'!K159="","",'App Log'!K159)</f>
      </c>
      <c r="AB159" s="5">
        <f>IF(AND('Actual Game'!K159="",'App Log'!K159=""),"",IF(TRIM('Actual Game'!K159&amp;"")=TRIM('App Log'!K159&amp;""),"MATCH","DIFF"))</f>
      </c>
      <c r="AC159" s="5">
        <f>IF(AND('Actual Game'!A159="",'App Log'!A159=""),"",IF(COUNTIF(D159:AB159,"DIFF")=0,"MATCH","CHECK"))</f>
      </c>
    </row>
    <row r="160" ht="19" customHeight="1">
      <c r="A160" s="5"/>
      <c r="B160" s="5">
        <f>IF('Actual Game'!B160="","",'Actual Game'!B160)</f>
      </c>
      <c r="C160" s="5">
        <f>IF('App Log'!B160="","",'App Log'!B160)</f>
      </c>
      <c r="D160" s="5">
        <f>IF(AND('Actual Game'!B160="",'App Log'!B160=""),"",IF(TRIM('Actual Game'!B160&amp;"")=TRIM('App Log'!B160&amp;""),"MATCH","DIFF"))</f>
      </c>
      <c r="E160" s="5">
        <f>IF('Actual Game'!C160="","",'Actual Game'!C160)</f>
      </c>
      <c r="F160" s="5">
        <f>IF('App Log'!C160="","",'App Log'!C160)</f>
      </c>
      <c r="G160" s="5">
        <f>IF(AND('Actual Game'!C160="",'App Log'!C160=""),"",IF(TRIM('Actual Game'!C160&amp;"")=TRIM('App Log'!C160&amp;""),"MATCH","DIFF"))</f>
      </c>
      <c r="H160" s="5">
        <f>IF('Actual Game'!D160="","",'Actual Game'!D160)</f>
      </c>
      <c r="I160" s="5">
        <f>IF('App Log'!D160="","",'App Log'!D160)</f>
      </c>
      <c r="J160" s="5">
        <f>IF(AND('Actual Game'!D160="",'App Log'!D160=""),"",IF(TRIM('Actual Game'!D160&amp;"")=TRIM('App Log'!D160&amp;""),"MATCH","DIFF"))</f>
      </c>
      <c r="K160" s="5">
        <f>IF('Actual Game'!E160="","",'Actual Game'!E160)</f>
      </c>
      <c r="L160" s="5">
        <f>IF('App Log'!E160="","",'App Log'!E160)</f>
      </c>
      <c r="M160" s="5">
        <f>IF(AND('Actual Game'!E160="",'App Log'!E160=""),"",IF(TRIM('Actual Game'!E160&amp;"")=TRIM('App Log'!E160&amp;""),"MATCH","DIFF"))</f>
      </c>
      <c r="N160" s="5">
        <f>IF('Actual Game'!F160="","",'Actual Game'!F160)</f>
      </c>
      <c r="O160" s="5">
        <f>IF('App Log'!F160="","",'App Log'!F160)</f>
      </c>
      <c r="P160" s="5">
        <f>IF(AND('Actual Game'!F160="",'App Log'!F160=""),"",IF(TRIM('Actual Game'!F160&amp;"")=TRIM('App Log'!F160&amp;""),"MATCH","DIFF"))</f>
      </c>
      <c r="Q160" s="5">
        <f>IF('Actual Game'!I160="","",'Actual Game'!I160)</f>
      </c>
      <c r="R160" s="5">
        <f>IF('App Log'!I160="","",'App Log'!I160)</f>
      </c>
      <c r="S160" s="5">
        <f>IF(AND('Actual Game'!I160="",'App Log'!I160=""),"",IF(TRIM('Actual Game'!I160&amp;"")=TRIM('App Log'!I160&amp;""),"MATCH","DIFF"))</f>
      </c>
      <c r="T160" s="5">
        <f>IF('Actual Game'!H160="","",'Actual Game'!H160)</f>
      </c>
      <c r="U160" s="5">
        <f>IF('App Log'!H160="","",'App Log'!H160)</f>
      </c>
      <c r="V160" s="5">
        <f>IF(AND('Actual Game'!H160="",'App Log'!H160=""),"",IF(TRIM('Actual Game'!H160&amp;"")=TRIM('App Log'!H160&amp;""),"MATCH","DIFF"))</f>
      </c>
      <c r="W160" s="5">
        <f>IF('Actual Game'!J160="","",'Actual Game'!J160)</f>
      </c>
      <c r="X160" s="5">
        <f>IF('App Log'!J160="","",'App Log'!J160)</f>
      </c>
      <c r="Y160" s="5">
        <f>IF(AND('Actual Game'!J160="",'App Log'!J160=""),"",IF(TRIM('Actual Game'!J160&amp;"")=TRIM('App Log'!J160&amp;""),"MATCH","DIFF"))</f>
      </c>
      <c r="Z160" s="5">
        <f>IF('Actual Game'!K160="","",'Actual Game'!K160)</f>
      </c>
      <c r="AA160" s="5">
        <f>IF('App Log'!K160="","",'App Log'!K160)</f>
      </c>
      <c r="AB160" s="5">
        <f>IF(AND('Actual Game'!K160="",'App Log'!K160=""),"",IF(TRIM('Actual Game'!K160&amp;"")=TRIM('App Log'!K160&amp;""),"MATCH","DIFF"))</f>
      </c>
      <c r="AC160" s="5">
        <f>IF(AND('Actual Game'!A160="",'App Log'!A160=""),"",IF(COUNTIF(D160:AB160,"DIFF")=0,"MATCH","CHECK"))</f>
      </c>
    </row>
    <row r="161" ht="19" customHeight="1">
      <c r="A161" s="5"/>
      <c r="B161" s="5">
        <f>IF('Actual Game'!B161="","",'Actual Game'!B161)</f>
      </c>
      <c r="C161" s="5">
        <f>IF('App Log'!B161="","",'App Log'!B161)</f>
      </c>
      <c r="D161" s="5">
        <f>IF(AND('Actual Game'!B161="",'App Log'!B161=""),"",IF(TRIM('Actual Game'!B161&amp;"")=TRIM('App Log'!B161&amp;""),"MATCH","DIFF"))</f>
      </c>
      <c r="E161" s="5">
        <f>IF('Actual Game'!C161="","",'Actual Game'!C161)</f>
      </c>
      <c r="F161" s="5">
        <f>IF('App Log'!C161="","",'App Log'!C161)</f>
      </c>
      <c r="G161" s="5">
        <f>IF(AND('Actual Game'!C161="",'App Log'!C161=""),"",IF(TRIM('Actual Game'!C161&amp;"")=TRIM('App Log'!C161&amp;""),"MATCH","DIFF"))</f>
      </c>
      <c r="H161" s="5">
        <f>IF('Actual Game'!D161="","",'Actual Game'!D161)</f>
      </c>
      <c r="I161" s="5">
        <f>IF('App Log'!D161="","",'App Log'!D161)</f>
      </c>
      <c r="J161" s="5">
        <f>IF(AND('Actual Game'!D161="",'App Log'!D161=""),"",IF(TRIM('Actual Game'!D161&amp;"")=TRIM('App Log'!D161&amp;""),"MATCH","DIFF"))</f>
      </c>
      <c r="K161" s="5">
        <f>IF('Actual Game'!E161="","",'Actual Game'!E161)</f>
      </c>
      <c r="L161" s="5">
        <f>IF('App Log'!E161="","",'App Log'!E161)</f>
      </c>
      <c r="M161" s="5">
        <f>IF(AND('Actual Game'!E161="",'App Log'!E161=""),"",IF(TRIM('Actual Game'!E161&amp;"")=TRIM('App Log'!E161&amp;""),"MATCH","DIFF"))</f>
      </c>
      <c r="N161" s="5">
        <f>IF('Actual Game'!F161="","",'Actual Game'!F161)</f>
      </c>
      <c r="O161" s="5">
        <f>IF('App Log'!F161="","",'App Log'!F161)</f>
      </c>
      <c r="P161" s="5">
        <f>IF(AND('Actual Game'!F161="",'App Log'!F161=""),"",IF(TRIM('Actual Game'!F161&amp;"")=TRIM('App Log'!F161&amp;""),"MATCH","DIFF"))</f>
      </c>
      <c r="Q161" s="5">
        <f>IF('Actual Game'!I161="","",'Actual Game'!I161)</f>
      </c>
      <c r="R161" s="5">
        <f>IF('App Log'!I161="","",'App Log'!I161)</f>
      </c>
      <c r="S161" s="5">
        <f>IF(AND('Actual Game'!I161="",'App Log'!I161=""),"",IF(TRIM('Actual Game'!I161&amp;"")=TRIM('App Log'!I161&amp;""),"MATCH","DIFF"))</f>
      </c>
      <c r="T161" s="5">
        <f>IF('Actual Game'!H161="","",'Actual Game'!H161)</f>
      </c>
      <c r="U161" s="5">
        <f>IF('App Log'!H161="","",'App Log'!H161)</f>
      </c>
      <c r="V161" s="5">
        <f>IF(AND('Actual Game'!H161="",'App Log'!H161=""),"",IF(TRIM('Actual Game'!H161&amp;"")=TRIM('App Log'!H161&amp;""),"MATCH","DIFF"))</f>
      </c>
      <c r="W161" s="5">
        <f>IF('Actual Game'!J161="","",'Actual Game'!J161)</f>
      </c>
      <c r="X161" s="5">
        <f>IF('App Log'!J161="","",'App Log'!J161)</f>
      </c>
      <c r="Y161" s="5">
        <f>IF(AND('Actual Game'!J161="",'App Log'!J161=""),"",IF(TRIM('Actual Game'!J161&amp;"")=TRIM('App Log'!J161&amp;""),"MATCH","DIFF"))</f>
      </c>
      <c r="Z161" s="5">
        <f>IF('Actual Game'!K161="","",'Actual Game'!K161)</f>
      </c>
      <c r="AA161" s="5">
        <f>IF('App Log'!K161="","",'App Log'!K161)</f>
      </c>
      <c r="AB161" s="5">
        <f>IF(AND('Actual Game'!K161="",'App Log'!K161=""),"",IF(TRIM('Actual Game'!K161&amp;"")=TRIM('App Log'!K161&amp;""),"MATCH","DIFF"))</f>
      </c>
      <c r="AC161" s="5">
        <f>IF(AND('Actual Game'!A161="",'App Log'!A161=""),"",IF(COUNTIF(D161:AB161,"DIFF")=0,"MATCH","CHECK"))</f>
      </c>
    </row>
    <row r="162" ht="19" customHeight="1">
      <c r="A162" s="5"/>
      <c r="B162" s="5">
        <f>IF('Actual Game'!B162="","",'Actual Game'!B162)</f>
      </c>
      <c r="C162" s="5">
        <f>IF('App Log'!B162="","",'App Log'!B162)</f>
      </c>
      <c r="D162" s="5">
        <f>IF(AND('Actual Game'!B162="",'App Log'!B162=""),"",IF(TRIM('Actual Game'!B162&amp;"")=TRIM('App Log'!B162&amp;""),"MATCH","DIFF"))</f>
      </c>
      <c r="E162" s="5">
        <f>IF('Actual Game'!C162="","",'Actual Game'!C162)</f>
      </c>
      <c r="F162" s="5">
        <f>IF('App Log'!C162="","",'App Log'!C162)</f>
      </c>
      <c r="G162" s="5">
        <f>IF(AND('Actual Game'!C162="",'App Log'!C162=""),"",IF(TRIM('Actual Game'!C162&amp;"")=TRIM('App Log'!C162&amp;""),"MATCH","DIFF"))</f>
      </c>
      <c r="H162" s="5">
        <f>IF('Actual Game'!D162="","",'Actual Game'!D162)</f>
      </c>
      <c r="I162" s="5">
        <f>IF('App Log'!D162="","",'App Log'!D162)</f>
      </c>
      <c r="J162" s="5">
        <f>IF(AND('Actual Game'!D162="",'App Log'!D162=""),"",IF(TRIM('Actual Game'!D162&amp;"")=TRIM('App Log'!D162&amp;""),"MATCH","DIFF"))</f>
      </c>
      <c r="K162" s="5">
        <f>IF('Actual Game'!E162="","",'Actual Game'!E162)</f>
      </c>
      <c r="L162" s="5">
        <f>IF('App Log'!E162="","",'App Log'!E162)</f>
      </c>
      <c r="M162" s="5">
        <f>IF(AND('Actual Game'!E162="",'App Log'!E162=""),"",IF(TRIM('Actual Game'!E162&amp;"")=TRIM('App Log'!E162&amp;""),"MATCH","DIFF"))</f>
      </c>
      <c r="N162" s="5">
        <f>IF('Actual Game'!F162="","",'Actual Game'!F162)</f>
      </c>
      <c r="O162" s="5">
        <f>IF('App Log'!F162="","",'App Log'!F162)</f>
      </c>
      <c r="P162" s="5">
        <f>IF(AND('Actual Game'!F162="",'App Log'!F162=""),"",IF(TRIM('Actual Game'!F162&amp;"")=TRIM('App Log'!F162&amp;""),"MATCH","DIFF"))</f>
      </c>
      <c r="Q162" s="5">
        <f>IF('Actual Game'!I162="","",'Actual Game'!I162)</f>
      </c>
      <c r="R162" s="5">
        <f>IF('App Log'!I162="","",'App Log'!I162)</f>
      </c>
      <c r="S162" s="5">
        <f>IF(AND('Actual Game'!I162="",'App Log'!I162=""),"",IF(TRIM('Actual Game'!I162&amp;"")=TRIM('App Log'!I162&amp;""),"MATCH","DIFF"))</f>
      </c>
      <c r="T162" s="5">
        <f>IF('Actual Game'!H162="","",'Actual Game'!H162)</f>
      </c>
      <c r="U162" s="5">
        <f>IF('App Log'!H162="","",'App Log'!H162)</f>
      </c>
      <c r="V162" s="5">
        <f>IF(AND('Actual Game'!H162="",'App Log'!H162=""),"",IF(TRIM('Actual Game'!H162&amp;"")=TRIM('App Log'!H162&amp;""),"MATCH","DIFF"))</f>
      </c>
      <c r="W162" s="5">
        <f>IF('Actual Game'!J162="","",'Actual Game'!J162)</f>
      </c>
      <c r="X162" s="5">
        <f>IF('App Log'!J162="","",'App Log'!J162)</f>
      </c>
      <c r="Y162" s="5">
        <f>IF(AND('Actual Game'!J162="",'App Log'!J162=""),"",IF(TRIM('Actual Game'!J162&amp;"")=TRIM('App Log'!J162&amp;""),"MATCH","DIFF"))</f>
      </c>
      <c r="Z162" s="5">
        <f>IF('Actual Game'!K162="","",'Actual Game'!K162)</f>
      </c>
      <c r="AA162" s="5">
        <f>IF('App Log'!K162="","",'App Log'!K162)</f>
      </c>
      <c r="AB162" s="5">
        <f>IF(AND('Actual Game'!K162="",'App Log'!K162=""),"",IF(TRIM('Actual Game'!K162&amp;"")=TRIM('App Log'!K162&amp;""),"MATCH","DIFF"))</f>
      </c>
      <c r="AC162" s="5">
        <f>IF(AND('Actual Game'!A162="",'App Log'!A162=""),"",IF(COUNTIF(D162:AB162,"DIFF")=0,"MATCH","CHECK"))</f>
      </c>
    </row>
    <row r="163" ht="19" customHeight="1">
      <c r="A163" s="5"/>
      <c r="B163" s="5">
        <f>IF('Actual Game'!B163="","",'Actual Game'!B163)</f>
      </c>
      <c r="C163" s="5">
        <f>IF('App Log'!B163="","",'App Log'!B163)</f>
      </c>
      <c r="D163" s="5">
        <f>IF(AND('Actual Game'!B163="",'App Log'!B163=""),"",IF(TRIM('Actual Game'!B163&amp;"")=TRIM('App Log'!B163&amp;""),"MATCH","DIFF"))</f>
      </c>
      <c r="E163" s="5">
        <f>IF('Actual Game'!C163="","",'Actual Game'!C163)</f>
      </c>
      <c r="F163" s="5">
        <f>IF('App Log'!C163="","",'App Log'!C163)</f>
      </c>
      <c r="G163" s="5">
        <f>IF(AND('Actual Game'!C163="",'App Log'!C163=""),"",IF(TRIM('Actual Game'!C163&amp;"")=TRIM('App Log'!C163&amp;""),"MATCH","DIFF"))</f>
      </c>
      <c r="H163" s="5">
        <f>IF('Actual Game'!D163="","",'Actual Game'!D163)</f>
      </c>
      <c r="I163" s="5">
        <f>IF('App Log'!D163="","",'App Log'!D163)</f>
      </c>
      <c r="J163" s="5">
        <f>IF(AND('Actual Game'!D163="",'App Log'!D163=""),"",IF(TRIM('Actual Game'!D163&amp;"")=TRIM('App Log'!D163&amp;""),"MATCH","DIFF"))</f>
      </c>
      <c r="K163" s="5">
        <f>IF('Actual Game'!E163="","",'Actual Game'!E163)</f>
      </c>
      <c r="L163" s="5">
        <f>IF('App Log'!E163="","",'App Log'!E163)</f>
      </c>
      <c r="M163" s="5">
        <f>IF(AND('Actual Game'!E163="",'App Log'!E163=""),"",IF(TRIM('Actual Game'!E163&amp;"")=TRIM('App Log'!E163&amp;""),"MATCH","DIFF"))</f>
      </c>
      <c r="N163" s="5">
        <f>IF('Actual Game'!F163="","",'Actual Game'!F163)</f>
      </c>
      <c r="O163" s="5">
        <f>IF('App Log'!F163="","",'App Log'!F163)</f>
      </c>
      <c r="P163" s="5">
        <f>IF(AND('Actual Game'!F163="",'App Log'!F163=""),"",IF(TRIM('Actual Game'!F163&amp;"")=TRIM('App Log'!F163&amp;""),"MATCH","DIFF"))</f>
      </c>
      <c r="Q163" s="5">
        <f>IF('Actual Game'!I163="","",'Actual Game'!I163)</f>
      </c>
      <c r="R163" s="5">
        <f>IF('App Log'!I163="","",'App Log'!I163)</f>
      </c>
      <c r="S163" s="5">
        <f>IF(AND('Actual Game'!I163="",'App Log'!I163=""),"",IF(TRIM('Actual Game'!I163&amp;"")=TRIM('App Log'!I163&amp;""),"MATCH","DIFF"))</f>
      </c>
      <c r="T163" s="5">
        <f>IF('Actual Game'!H163="","",'Actual Game'!H163)</f>
      </c>
      <c r="U163" s="5">
        <f>IF('App Log'!H163="","",'App Log'!H163)</f>
      </c>
      <c r="V163" s="5">
        <f>IF(AND('Actual Game'!H163="",'App Log'!H163=""),"",IF(TRIM('Actual Game'!H163&amp;"")=TRIM('App Log'!H163&amp;""),"MATCH","DIFF"))</f>
      </c>
      <c r="W163" s="5">
        <f>IF('Actual Game'!J163="","",'Actual Game'!J163)</f>
      </c>
      <c r="X163" s="5">
        <f>IF('App Log'!J163="","",'App Log'!J163)</f>
      </c>
      <c r="Y163" s="5">
        <f>IF(AND('Actual Game'!J163="",'App Log'!J163=""),"",IF(TRIM('Actual Game'!J163&amp;"")=TRIM('App Log'!J163&amp;""),"MATCH","DIFF"))</f>
      </c>
      <c r="Z163" s="5">
        <f>IF('Actual Game'!K163="","",'Actual Game'!K163)</f>
      </c>
      <c r="AA163" s="5">
        <f>IF('App Log'!K163="","",'App Log'!K163)</f>
      </c>
      <c r="AB163" s="5">
        <f>IF(AND('Actual Game'!K163="",'App Log'!K163=""),"",IF(TRIM('Actual Game'!K163&amp;"")=TRIM('App Log'!K163&amp;""),"MATCH","DIFF"))</f>
      </c>
      <c r="AC163" s="5">
        <f>IF(AND('Actual Game'!A163="",'App Log'!A163=""),"",IF(COUNTIF(D163:AB163,"DIFF")=0,"MATCH","CHECK"))</f>
      </c>
    </row>
    <row r="164" ht="19" customHeight="1">
      <c r="A164" s="5"/>
      <c r="B164" s="5">
        <f>IF('Actual Game'!B164="","",'Actual Game'!B164)</f>
      </c>
      <c r="C164" s="5">
        <f>IF('App Log'!B164="","",'App Log'!B164)</f>
      </c>
      <c r="D164" s="5">
        <f>IF(AND('Actual Game'!B164="",'App Log'!B164=""),"",IF(TRIM('Actual Game'!B164&amp;"")=TRIM('App Log'!B164&amp;""),"MATCH","DIFF"))</f>
      </c>
      <c r="E164" s="5">
        <f>IF('Actual Game'!C164="","",'Actual Game'!C164)</f>
      </c>
      <c r="F164" s="5">
        <f>IF('App Log'!C164="","",'App Log'!C164)</f>
      </c>
      <c r="G164" s="5">
        <f>IF(AND('Actual Game'!C164="",'App Log'!C164=""),"",IF(TRIM('Actual Game'!C164&amp;"")=TRIM('App Log'!C164&amp;""),"MATCH","DIFF"))</f>
      </c>
      <c r="H164" s="5">
        <f>IF('Actual Game'!D164="","",'Actual Game'!D164)</f>
      </c>
      <c r="I164" s="5">
        <f>IF('App Log'!D164="","",'App Log'!D164)</f>
      </c>
      <c r="J164" s="5">
        <f>IF(AND('Actual Game'!D164="",'App Log'!D164=""),"",IF(TRIM('Actual Game'!D164&amp;"")=TRIM('App Log'!D164&amp;""),"MATCH","DIFF"))</f>
      </c>
      <c r="K164" s="5">
        <f>IF('Actual Game'!E164="","",'Actual Game'!E164)</f>
      </c>
      <c r="L164" s="5">
        <f>IF('App Log'!E164="","",'App Log'!E164)</f>
      </c>
      <c r="M164" s="5">
        <f>IF(AND('Actual Game'!E164="",'App Log'!E164=""),"",IF(TRIM('Actual Game'!E164&amp;"")=TRIM('App Log'!E164&amp;""),"MATCH","DIFF"))</f>
      </c>
      <c r="N164" s="5">
        <f>IF('Actual Game'!F164="","",'Actual Game'!F164)</f>
      </c>
      <c r="O164" s="5">
        <f>IF('App Log'!F164="","",'App Log'!F164)</f>
      </c>
      <c r="P164" s="5">
        <f>IF(AND('Actual Game'!F164="",'App Log'!F164=""),"",IF(TRIM('Actual Game'!F164&amp;"")=TRIM('App Log'!F164&amp;""),"MATCH","DIFF"))</f>
      </c>
      <c r="Q164" s="5">
        <f>IF('Actual Game'!I164="","",'Actual Game'!I164)</f>
      </c>
      <c r="R164" s="5">
        <f>IF('App Log'!I164="","",'App Log'!I164)</f>
      </c>
      <c r="S164" s="5">
        <f>IF(AND('Actual Game'!I164="",'App Log'!I164=""),"",IF(TRIM('Actual Game'!I164&amp;"")=TRIM('App Log'!I164&amp;""),"MATCH","DIFF"))</f>
      </c>
      <c r="T164" s="5">
        <f>IF('Actual Game'!H164="","",'Actual Game'!H164)</f>
      </c>
      <c r="U164" s="5">
        <f>IF('App Log'!H164="","",'App Log'!H164)</f>
      </c>
      <c r="V164" s="5">
        <f>IF(AND('Actual Game'!H164="",'App Log'!H164=""),"",IF(TRIM('Actual Game'!H164&amp;"")=TRIM('App Log'!H164&amp;""),"MATCH","DIFF"))</f>
      </c>
      <c r="W164" s="5">
        <f>IF('Actual Game'!J164="","",'Actual Game'!J164)</f>
      </c>
      <c r="X164" s="5">
        <f>IF('App Log'!J164="","",'App Log'!J164)</f>
      </c>
      <c r="Y164" s="5">
        <f>IF(AND('Actual Game'!J164="",'App Log'!J164=""),"",IF(TRIM('Actual Game'!J164&amp;"")=TRIM('App Log'!J164&amp;""),"MATCH","DIFF"))</f>
      </c>
      <c r="Z164" s="5">
        <f>IF('Actual Game'!K164="","",'Actual Game'!K164)</f>
      </c>
      <c r="AA164" s="5">
        <f>IF('App Log'!K164="","",'App Log'!K164)</f>
      </c>
      <c r="AB164" s="5">
        <f>IF(AND('Actual Game'!K164="",'App Log'!K164=""),"",IF(TRIM('Actual Game'!K164&amp;"")=TRIM('App Log'!K164&amp;""),"MATCH","DIFF"))</f>
      </c>
      <c r="AC164" s="5">
        <f>IF(AND('Actual Game'!A164="",'App Log'!A164=""),"",IF(COUNTIF(D164:AB164,"DIFF")=0,"MATCH","CHECK"))</f>
      </c>
    </row>
    <row r="165" ht="19" customHeight="1">
      <c r="A165" s="5"/>
      <c r="B165" s="5">
        <f>IF('Actual Game'!B165="","",'Actual Game'!B165)</f>
      </c>
      <c r="C165" s="5">
        <f>IF('App Log'!B165="","",'App Log'!B165)</f>
      </c>
      <c r="D165" s="5">
        <f>IF(AND('Actual Game'!B165="",'App Log'!B165=""),"",IF(TRIM('Actual Game'!B165&amp;"")=TRIM('App Log'!B165&amp;""),"MATCH","DIFF"))</f>
      </c>
      <c r="E165" s="5">
        <f>IF('Actual Game'!C165="","",'Actual Game'!C165)</f>
      </c>
      <c r="F165" s="5">
        <f>IF('App Log'!C165="","",'App Log'!C165)</f>
      </c>
      <c r="G165" s="5">
        <f>IF(AND('Actual Game'!C165="",'App Log'!C165=""),"",IF(TRIM('Actual Game'!C165&amp;"")=TRIM('App Log'!C165&amp;""),"MATCH","DIFF"))</f>
      </c>
      <c r="H165" s="5">
        <f>IF('Actual Game'!D165="","",'Actual Game'!D165)</f>
      </c>
      <c r="I165" s="5">
        <f>IF('App Log'!D165="","",'App Log'!D165)</f>
      </c>
      <c r="J165" s="5">
        <f>IF(AND('Actual Game'!D165="",'App Log'!D165=""),"",IF(TRIM('Actual Game'!D165&amp;"")=TRIM('App Log'!D165&amp;""),"MATCH","DIFF"))</f>
      </c>
      <c r="K165" s="5">
        <f>IF('Actual Game'!E165="","",'Actual Game'!E165)</f>
      </c>
      <c r="L165" s="5">
        <f>IF('App Log'!E165="","",'App Log'!E165)</f>
      </c>
      <c r="M165" s="5">
        <f>IF(AND('Actual Game'!E165="",'App Log'!E165=""),"",IF(TRIM('Actual Game'!E165&amp;"")=TRIM('App Log'!E165&amp;""),"MATCH","DIFF"))</f>
      </c>
      <c r="N165" s="5">
        <f>IF('Actual Game'!F165="","",'Actual Game'!F165)</f>
      </c>
      <c r="O165" s="5">
        <f>IF('App Log'!F165="","",'App Log'!F165)</f>
      </c>
      <c r="P165" s="5">
        <f>IF(AND('Actual Game'!F165="",'App Log'!F165=""),"",IF(TRIM('Actual Game'!F165&amp;"")=TRIM('App Log'!F165&amp;""),"MATCH","DIFF"))</f>
      </c>
      <c r="Q165" s="5">
        <f>IF('Actual Game'!I165="","",'Actual Game'!I165)</f>
      </c>
      <c r="R165" s="5">
        <f>IF('App Log'!I165="","",'App Log'!I165)</f>
      </c>
      <c r="S165" s="5">
        <f>IF(AND('Actual Game'!I165="",'App Log'!I165=""),"",IF(TRIM('Actual Game'!I165&amp;"")=TRIM('App Log'!I165&amp;""),"MATCH","DIFF"))</f>
      </c>
      <c r="T165" s="5">
        <f>IF('Actual Game'!H165="","",'Actual Game'!H165)</f>
      </c>
      <c r="U165" s="5">
        <f>IF('App Log'!H165="","",'App Log'!H165)</f>
      </c>
      <c r="V165" s="5">
        <f>IF(AND('Actual Game'!H165="",'App Log'!H165=""),"",IF(TRIM('Actual Game'!H165&amp;"")=TRIM('App Log'!H165&amp;""),"MATCH","DIFF"))</f>
      </c>
      <c r="W165" s="5">
        <f>IF('Actual Game'!J165="","",'Actual Game'!J165)</f>
      </c>
      <c r="X165" s="5">
        <f>IF('App Log'!J165="","",'App Log'!J165)</f>
      </c>
      <c r="Y165" s="5">
        <f>IF(AND('Actual Game'!J165="",'App Log'!J165=""),"",IF(TRIM('Actual Game'!J165&amp;"")=TRIM('App Log'!J165&amp;""),"MATCH","DIFF"))</f>
      </c>
      <c r="Z165" s="5">
        <f>IF('Actual Game'!K165="","",'Actual Game'!K165)</f>
      </c>
      <c r="AA165" s="5">
        <f>IF('App Log'!K165="","",'App Log'!K165)</f>
      </c>
      <c r="AB165" s="5">
        <f>IF(AND('Actual Game'!K165="",'App Log'!K165=""),"",IF(TRIM('Actual Game'!K165&amp;"")=TRIM('App Log'!K165&amp;""),"MATCH","DIFF"))</f>
      </c>
      <c r="AC165" s="5">
        <f>IF(AND('Actual Game'!A165="",'App Log'!A165=""),"",IF(COUNTIF(D165:AB165,"DIFF")=0,"MATCH","CHECK"))</f>
      </c>
    </row>
    <row r="166" ht="19" customHeight="1">
      <c r="A166" s="5"/>
      <c r="B166" s="5">
        <f>IF('Actual Game'!B166="","",'Actual Game'!B166)</f>
      </c>
      <c r="C166" s="5">
        <f>IF('App Log'!B166="","",'App Log'!B166)</f>
      </c>
      <c r="D166" s="5">
        <f>IF(AND('Actual Game'!B166="",'App Log'!B166=""),"",IF(TRIM('Actual Game'!B166&amp;"")=TRIM('App Log'!B166&amp;""),"MATCH","DIFF"))</f>
      </c>
      <c r="E166" s="5">
        <f>IF('Actual Game'!C166="","",'Actual Game'!C166)</f>
      </c>
      <c r="F166" s="5">
        <f>IF('App Log'!C166="","",'App Log'!C166)</f>
      </c>
      <c r="G166" s="5">
        <f>IF(AND('Actual Game'!C166="",'App Log'!C166=""),"",IF(TRIM('Actual Game'!C166&amp;"")=TRIM('App Log'!C166&amp;""),"MATCH","DIFF"))</f>
      </c>
      <c r="H166" s="5">
        <f>IF('Actual Game'!D166="","",'Actual Game'!D166)</f>
      </c>
      <c r="I166" s="5">
        <f>IF('App Log'!D166="","",'App Log'!D166)</f>
      </c>
      <c r="J166" s="5">
        <f>IF(AND('Actual Game'!D166="",'App Log'!D166=""),"",IF(TRIM('Actual Game'!D166&amp;"")=TRIM('App Log'!D166&amp;""),"MATCH","DIFF"))</f>
      </c>
      <c r="K166" s="5">
        <f>IF('Actual Game'!E166="","",'Actual Game'!E166)</f>
      </c>
      <c r="L166" s="5">
        <f>IF('App Log'!E166="","",'App Log'!E166)</f>
      </c>
      <c r="M166" s="5">
        <f>IF(AND('Actual Game'!E166="",'App Log'!E166=""),"",IF(TRIM('Actual Game'!E166&amp;"")=TRIM('App Log'!E166&amp;""),"MATCH","DIFF"))</f>
      </c>
      <c r="N166" s="5">
        <f>IF('Actual Game'!F166="","",'Actual Game'!F166)</f>
      </c>
      <c r="O166" s="5">
        <f>IF('App Log'!F166="","",'App Log'!F166)</f>
      </c>
      <c r="P166" s="5">
        <f>IF(AND('Actual Game'!F166="",'App Log'!F166=""),"",IF(TRIM('Actual Game'!F166&amp;"")=TRIM('App Log'!F166&amp;""),"MATCH","DIFF"))</f>
      </c>
      <c r="Q166" s="5">
        <f>IF('Actual Game'!I166="","",'Actual Game'!I166)</f>
      </c>
      <c r="R166" s="5">
        <f>IF('App Log'!I166="","",'App Log'!I166)</f>
      </c>
      <c r="S166" s="5">
        <f>IF(AND('Actual Game'!I166="",'App Log'!I166=""),"",IF(TRIM('Actual Game'!I166&amp;"")=TRIM('App Log'!I166&amp;""),"MATCH","DIFF"))</f>
      </c>
      <c r="T166" s="5">
        <f>IF('Actual Game'!H166="","",'Actual Game'!H166)</f>
      </c>
      <c r="U166" s="5">
        <f>IF('App Log'!H166="","",'App Log'!H166)</f>
      </c>
      <c r="V166" s="5">
        <f>IF(AND('Actual Game'!H166="",'App Log'!H166=""),"",IF(TRIM('Actual Game'!H166&amp;"")=TRIM('App Log'!H166&amp;""),"MATCH","DIFF"))</f>
      </c>
      <c r="W166" s="5">
        <f>IF('Actual Game'!J166="","",'Actual Game'!J166)</f>
      </c>
      <c r="X166" s="5">
        <f>IF('App Log'!J166="","",'App Log'!J166)</f>
      </c>
      <c r="Y166" s="5">
        <f>IF(AND('Actual Game'!J166="",'App Log'!J166=""),"",IF(TRIM('Actual Game'!J166&amp;"")=TRIM('App Log'!J166&amp;""),"MATCH","DIFF"))</f>
      </c>
      <c r="Z166" s="5">
        <f>IF('Actual Game'!K166="","",'Actual Game'!K166)</f>
      </c>
      <c r="AA166" s="5">
        <f>IF('App Log'!K166="","",'App Log'!K166)</f>
      </c>
      <c r="AB166" s="5">
        <f>IF(AND('Actual Game'!K166="",'App Log'!K166=""),"",IF(TRIM('Actual Game'!K166&amp;"")=TRIM('App Log'!K166&amp;""),"MATCH","DIFF"))</f>
      </c>
      <c r="AC166" s="5">
        <f>IF(AND('Actual Game'!A166="",'App Log'!A166=""),"",IF(COUNTIF(D166:AB166,"DIFF")=0,"MATCH","CHECK"))</f>
      </c>
    </row>
    <row r="167" ht="19" customHeight="1">
      <c r="A167" s="5"/>
      <c r="B167" s="5">
        <f>IF('Actual Game'!B167="","",'Actual Game'!B167)</f>
      </c>
      <c r="C167" s="5">
        <f>IF('App Log'!B167="","",'App Log'!B167)</f>
      </c>
      <c r="D167" s="5">
        <f>IF(AND('Actual Game'!B167="",'App Log'!B167=""),"",IF(TRIM('Actual Game'!B167&amp;"")=TRIM('App Log'!B167&amp;""),"MATCH","DIFF"))</f>
      </c>
      <c r="E167" s="5">
        <f>IF('Actual Game'!C167="","",'Actual Game'!C167)</f>
      </c>
      <c r="F167" s="5">
        <f>IF('App Log'!C167="","",'App Log'!C167)</f>
      </c>
      <c r="G167" s="5">
        <f>IF(AND('Actual Game'!C167="",'App Log'!C167=""),"",IF(TRIM('Actual Game'!C167&amp;"")=TRIM('App Log'!C167&amp;""),"MATCH","DIFF"))</f>
      </c>
      <c r="H167" s="5">
        <f>IF('Actual Game'!D167="","",'Actual Game'!D167)</f>
      </c>
      <c r="I167" s="5">
        <f>IF('App Log'!D167="","",'App Log'!D167)</f>
      </c>
      <c r="J167" s="5">
        <f>IF(AND('Actual Game'!D167="",'App Log'!D167=""),"",IF(TRIM('Actual Game'!D167&amp;"")=TRIM('App Log'!D167&amp;""),"MATCH","DIFF"))</f>
      </c>
      <c r="K167" s="5">
        <f>IF('Actual Game'!E167="","",'Actual Game'!E167)</f>
      </c>
      <c r="L167" s="5">
        <f>IF('App Log'!E167="","",'App Log'!E167)</f>
      </c>
      <c r="M167" s="5">
        <f>IF(AND('Actual Game'!E167="",'App Log'!E167=""),"",IF(TRIM('Actual Game'!E167&amp;"")=TRIM('App Log'!E167&amp;""),"MATCH","DIFF"))</f>
      </c>
      <c r="N167" s="5">
        <f>IF('Actual Game'!F167="","",'Actual Game'!F167)</f>
      </c>
      <c r="O167" s="5">
        <f>IF('App Log'!F167="","",'App Log'!F167)</f>
      </c>
      <c r="P167" s="5">
        <f>IF(AND('Actual Game'!F167="",'App Log'!F167=""),"",IF(TRIM('Actual Game'!F167&amp;"")=TRIM('App Log'!F167&amp;""),"MATCH","DIFF"))</f>
      </c>
      <c r="Q167" s="5">
        <f>IF('Actual Game'!I167="","",'Actual Game'!I167)</f>
      </c>
      <c r="R167" s="5">
        <f>IF('App Log'!I167="","",'App Log'!I167)</f>
      </c>
      <c r="S167" s="5">
        <f>IF(AND('Actual Game'!I167="",'App Log'!I167=""),"",IF(TRIM('Actual Game'!I167&amp;"")=TRIM('App Log'!I167&amp;""),"MATCH","DIFF"))</f>
      </c>
      <c r="T167" s="5">
        <f>IF('Actual Game'!H167="","",'Actual Game'!H167)</f>
      </c>
      <c r="U167" s="5">
        <f>IF('App Log'!H167="","",'App Log'!H167)</f>
      </c>
      <c r="V167" s="5">
        <f>IF(AND('Actual Game'!H167="",'App Log'!H167=""),"",IF(TRIM('Actual Game'!H167&amp;"")=TRIM('App Log'!H167&amp;""),"MATCH","DIFF"))</f>
      </c>
      <c r="W167" s="5">
        <f>IF('Actual Game'!J167="","",'Actual Game'!J167)</f>
      </c>
      <c r="X167" s="5">
        <f>IF('App Log'!J167="","",'App Log'!J167)</f>
      </c>
      <c r="Y167" s="5">
        <f>IF(AND('Actual Game'!J167="",'App Log'!J167=""),"",IF(TRIM('Actual Game'!J167&amp;"")=TRIM('App Log'!J167&amp;""),"MATCH","DIFF"))</f>
      </c>
      <c r="Z167" s="5">
        <f>IF('Actual Game'!K167="","",'Actual Game'!K167)</f>
      </c>
      <c r="AA167" s="5">
        <f>IF('App Log'!K167="","",'App Log'!K167)</f>
      </c>
      <c r="AB167" s="5">
        <f>IF(AND('Actual Game'!K167="",'App Log'!K167=""),"",IF(TRIM('Actual Game'!K167&amp;"")=TRIM('App Log'!K167&amp;""),"MATCH","DIFF"))</f>
      </c>
      <c r="AC167" s="5">
        <f>IF(AND('Actual Game'!A167="",'App Log'!A167=""),"",IF(COUNTIF(D167:AB167,"DIFF")=0,"MATCH","CHECK"))</f>
      </c>
    </row>
    <row r="168" ht="19" customHeight="1">
      <c r="A168" s="5"/>
      <c r="B168" s="5">
        <f>IF('Actual Game'!B168="","",'Actual Game'!B168)</f>
      </c>
      <c r="C168" s="5">
        <f>IF('App Log'!B168="","",'App Log'!B168)</f>
      </c>
      <c r="D168" s="5">
        <f>IF(AND('Actual Game'!B168="",'App Log'!B168=""),"",IF(TRIM('Actual Game'!B168&amp;"")=TRIM('App Log'!B168&amp;""),"MATCH","DIFF"))</f>
      </c>
      <c r="E168" s="5">
        <f>IF('Actual Game'!C168="","",'Actual Game'!C168)</f>
      </c>
      <c r="F168" s="5">
        <f>IF('App Log'!C168="","",'App Log'!C168)</f>
      </c>
      <c r="G168" s="5">
        <f>IF(AND('Actual Game'!C168="",'App Log'!C168=""),"",IF(TRIM('Actual Game'!C168&amp;"")=TRIM('App Log'!C168&amp;""),"MATCH","DIFF"))</f>
      </c>
      <c r="H168" s="5">
        <f>IF('Actual Game'!D168="","",'Actual Game'!D168)</f>
      </c>
      <c r="I168" s="5">
        <f>IF('App Log'!D168="","",'App Log'!D168)</f>
      </c>
      <c r="J168" s="5">
        <f>IF(AND('Actual Game'!D168="",'App Log'!D168=""),"",IF(TRIM('Actual Game'!D168&amp;"")=TRIM('App Log'!D168&amp;""),"MATCH","DIFF"))</f>
      </c>
      <c r="K168" s="5">
        <f>IF('Actual Game'!E168="","",'Actual Game'!E168)</f>
      </c>
      <c r="L168" s="5">
        <f>IF('App Log'!E168="","",'App Log'!E168)</f>
      </c>
      <c r="M168" s="5">
        <f>IF(AND('Actual Game'!E168="",'App Log'!E168=""),"",IF(TRIM('Actual Game'!E168&amp;"")=TRIM('App Log'!E168&amp;""),"MATCH","DIFF"))</f>
      </c>
      <c r="N168" s="5">
        <f>IF('Actual Game'!F168="","",'Actual Game'!F168)</f>
      </c>
      <c r="O168" s="5">
        <f>IF('App Log'!F168="","",'App Log'!F168)</f>
      </c>
      <c r="P168" s="5">
        <f>IF(AND('Actual Game'!F168="",'App Log'!F168=""),"",IF(TRIM('Actual Game'!F168&amp;"")=TRIM('App Log'!F168&amp;""),"MATCH","DIFF"))</f>
      </c>
      <c r="Q168" s="5">
        <f>IF('Actual Game'!I168="","",'Actual Game'!I168)</f>
      </c>
      <c r="R168" s="5">
        <f>IF('App Log'!I168="","",'App Log'!I168)</f>
      </c>
      <c r="S168" s="5">
        <f>IF(AND('Actual Game'!I168="",'App Log'!I168=""),"",IF(TRIM('Actual Game'!I168&amp;"")=TRIM('App Log'!I168&amp;""),"MATCH","DIFF"))</f>
      </c>
      <c r="T168" s="5">
        <f>IF('Actual Game'!H168="","",'Actual Game'!H168)</f>
      </c>
      <c r="U168" s="5">
        <f>IF('App Log'!H168="","",'App Log'!H168)</f>
      </c>
      <c r="V168" s="5">
        <f>IF(AND('Actual Game'!H168="",'App Log'!H168=""),"",IF(TRIM('Actual Game'!H168&amp;"")=TRIM('App Log'!H168&amp;""),"MATCH","DIFF"))</f>
      </c>
      <c r="W168" s="5">
        <f>IF('Actual Game'!J168="","",'Actual Game'!J168)</f>
      </c>
      <c r="X168" s="5">
        <f>IF('App Log'!J168="","",'App Log'!J168)</f>
      </c>
      <c r="Y168" s="5">
        <f>IF(AND('Actual Game'!J168="",'App Log'!J168=""),"",IF(TRIM('Actual Game'!J168&amp;"")=TRIM('App Log'!J168&amp;""),"MATCH","DIFF"))</f>
      </c>
      <c r="Z168" s="5">
        <f>IF('Actual Game'!K168="","",'Actual Game'!K168)</f>
      </c>
      <c r="AA168" s="5">
        <f>IF('App Log'!K168="","",'App Log'!K168)</f>
      </c>
      <c r="AB168" s="5">
        <f>IF(AND('Actual Game'!K168="",'App Log'!K168=""),"",IF(TRIM('Actual Game'!K168&amp;"")=TRIM('App Log'!K168&amp;""),"MATCH","DIFF"))</f>
      </c>
      <c r="AC168" s="5">
        <f>IF(AND('Actual Game'!A168="",'App Log'!A168=""),"",IF(COUNTIF(D168:AB168,"DIFF")=0,"MATCH","CHECK"))</f>
      </c>
    </row>
    <row r="169" ht="19" customHeight="1">
      <c r="A169" s="5"/>
      <c r="B169" s="5">
        <f>IF('Actual Game'!B169="","",'Actual Game'!B169)</f>
      </c>
      <c r="C169" s="5">
        <f>IF('App Log'!B169="","",'App Log'!B169)</f>
      </c>
      <c r="D169" s="5">
        <f>IF(AND('Actual Game'!B169="",'App Log'!B169=""),"",IF(TRIM('Actual Game'!B169&amp;"")=TRIM('App Log'!B169&amp;""),"MATCH","DIFF"))</f>
      </c>
      <c r="E169" s="5">
        <f>IF('Actual Game'!C169="","",'Actual Game'!C169)</f>
      </c>
      <c r="F169" s="5">
        <f>IF('App Log'!C169="","",'App Log'!C169)</f>
      </c>
      <c r="G169" s="5">
        <f>IF(AND('Actual Game'!C169="",'App Log'!C169=""),"",IF(TRIM('Actual Game'!C169&amp;"")=TRIM('App Log'!C169&amp;""),"MATCH","DIFF"))</f>
      </c>
      <c r="H169" s="5">
        <f>IF('Actual Game'!D169="","",'Actual Game'!D169)</f>
      </c>
      <c r="I169" s="5">
        <f>IF('App Log'!D169="","",'App Log'!D169)</f>
      </c>
      <c r="J169" s="5">
        <f>IF(AND('Actual Game'!D169="",'App Log'!D169=""),"",IF(TRIM('Actual Game'!D169&amp;"")=TRIM('App Log'!D169&amp;""),"MATCH","DIFF"))</f>
      </c>
      <c r="K169" s="5">
        <f>IF('Actual Game'!E169="","",'Actual Game'!E169)</f>
      </c>
      <c r="L169" s="5">
        <f>IF('App Log'!E169="","",'App Log'!E169)</f>
      </c>
      <c r="M169" s="5">
        <f>IF(AND('Actual Game'!E169="",'App Log'!E169=""),"",IF(TRIM('Actual Game'!E169&amp;"")=TRIM('App Log'!E169&amp;""),"MATCH","DIFF"))</f>
      </c>
      <c r="N169" s="5">
        <f>IF('Actual Game'!F169="","",'Actual Game'!F169)</f>
      </c>
      <c r="O169" s="5">
        <f>IF('App Log'!F169="","",'App Log'!F169)</f>
      </c>
      <c r="P169" s="5">
        <f>IF(AND('Actual Game'!F169="",'App Log'!F169=""),"",IF(TRIM('Actual Game'!F169&amp;"")=TRIM('App Log'!F169&amp;""),"MATCH","DIFF"))</f>
      </c>
      <c r="Q169" s="5">
        <f>IF('Actual Game'!I169="","",'Actual Game'!I169)</f>
      </c>
      <c r="R169" s="5">
        <f>IF('App Log'!I169="","",'App Log'!I169)</f>
      </c>
      <c r="S169" s="5">
        <f>IF(AND('Actual Game'!I169="",'App Log'!I169=""),"",IF(TRIM('Actual Game'!I169&amp;"")=TRIM('App Log'!I169&amp;""),"MATCH","DIFF"))</f>
      </c>
      <c r="T169" s="5">
        <f>IF('Actual Game'!H169="","",'Actual Game'!H169)</f>
      </c>
      <c r="U169" s="5">
        <f>IF('App Log'!H169="","",'App Log'!H169)</f>
      </c>
      <c r="V169" s="5">
        <f>IF(AND('Actual Game'!H169="",'App Log'!H169=""),"",IF(TRIM('Actual Game'!H169&amp;"")=TRIM('App Log'!H169&amp;""),"MATCH","DIFF"))</f>
      </c>
      <c r="W169" s="5">
        <f>IF('Actual Game'!J169="","",'Actual Game'!J169)</f>
      </c>
      <c r="X169" s="5">
        <f>IF('App Log'!J169="","",'App Log'!J169)</f>
      </c>
      <c r="Y169" s="5">
        <f>IF(AND('Actual Game'!J169="",'App Log'!J169=""),"",IF(TRIM('Actual Game'!J169&amp;"")=TRIM('App Log'!J169&amp;""),"MATCH","DIFF"))</f>
      </c>
      <c r="Z169" s="5">
        <f>IF('Actual Game'!K169="","",'Actual Game'!K169)</f>
      </c>
      <c r="AA169" s="5">
        <f>IF('App Log'!K169="","",'App Log'!K169)</f>
      </c>
      <c r="AB169" s="5">
        <f>IF(AND('Actual Game'!K169="",'App Log'!K169=""),"",IF(TRIM('Actual Game'!K169&amp;"")=TRIM('App Log'!K169&amp;""),"MATCH","DIFF"))</f>
      </c>
      <c r="AC169" s="5">
        <f>IF(AND('Actual Game'!A169="",'App Log'!A169=""),"",IF(COUNTIF(D169:AB169,"DIFF")=0,"MATCH","CHECK"))</f>
      </c>
    </row>
    <row r="170" ht="19" customHeight="1">
      <c r="A170" s="5"/>
      <c r="B170" s="5">
        <f>IF('Actual Game'!B170="","",'Actual Game'!B170)</f>
      </c>
      <c r="C170" s="5">
        <f>IF('App Log'!B170="","",'App Log'!B170)</f>
      </c>
      <c r="D170" s="5">
        <f>IF(AND('Actual Game'!B170="",'App Log'!B170=""),"",IF(TRIM('Actual Game'!B170&amp;"")=TRIM('App Log'!B170&amp;""),"MATCH","DIFF"))</f>
      </c>
      <c r="E170" s="5">
        <f>IF('Actual Game'!C170="","",'Actual Game'!C170)</f>
      </c>
      <c r="F170" s="5">
        <f>IF('App Log'!C170="","",'App Log'!C170)</f>
      </c>
      <c r="G170" s="5">
        <f>IF(AND('Actual Game'!C170="",'App Log'!C170=""),"",IF(TRIM('Actual Game'!C170&amp;"")=TRIM('App Log'!C170&amp;""),"MATCH","DIFF"))</f>
      </c>
      <c r="H170" s="5">
        <f>IF('Actual Game'!D170="","",'Actual Game'!D170)</f>
      </c>
      <c r="I170" s="5">
        <f>IF('App Log'!D170="","",'App Log'!D170)</f>
      </c>
      <c r="J170" s="5">
        <f>IF(AND('Actual Game'!D170="",'App Log'!D170=""),"",IF(TRIM('Actual Game'!D170&amp;"")=TRIM('App Log'!D170&amp;""),"MATCH","DIFF"))</f>
      </c>
      <c r="K170" s="5">
        <f>IF('Actual Game'!E170="","",'Actual Game'!E170)</f>
      </c>
      <c r="L170" s="5">
        <f>IF('App Log'!E170="","",'App Log'!E170)</f>
      </c>
      <c r="M170" s="5">
        <f>IF(AND('Actual Game'!E170="",'App Log'!E170=""),"",IF(TRIM('Actual Game'!E170&amp;"")=TRIM('App Log'!E170&amp;""),"MATCH","DIFF"))</f>
      </c>
      <c r="N170" s="5">
        <f>IF('Actual Game'!F170="","",'Actual Game'!F170)</f>
      </c>
      <c r="O170" s="5">
        <f>IF('App Log'!F170="","",'App Log'!F170)</f>
      </c>
      <c r="P170" s="5">
        <f>IF(AND('Actual Game'!F170="",'App Log'!F170=""),"",IF(TRIM('Actual Game'!F170&amp;"")=TRIM('App Log'!F170&amp;""),"MATCH","DIFF"))</f>
      </c>
      <c r="Q170" s="5">
        <f>IF('Actual Game'!I170="","",'Actual Game'!I170)</f>
      </c>
      <c r="R170" s="5">
        <f>IF('App Log'!I170="","",'App Log'!I170)</f>
      </c>
      <c r="S170" s="5">
        <f>IF(AND('Actual Game'!I170="",'App Log'!I170=""),"",IF(TRIM('Actual Game'!I170&amp;"")=TRIM('App Log'!I170&amp;""),"MATCH","DIFF"))</f>
      </c>
      <c r="T170" s="5">
        <f>IF('Actual Game'!H170="","",'Actual Game'!H170)</f>
      </c>
      <c r="U170" s="5">
        <f>IF('App Log'!H170="","",'App Log'!H170)</f>
      </c>
      <c r="V170" s="5">
        <f>IF(AND('Actual Game'!H170="",'App Log'!H170=""),"",IF(TRIM('Actual Game'!H170&amp;"")=TRIM('App Log'!H170&amp;""),"MATCH","DIFF"))</f>
      </c>
      <c r="W170" s="5">
        <f>IF('Actual Game'!J170="","",'Actual Game'!J170)</f>
      </c>
      <c r="X170" s="5">
        <f>IF('App Log'!J170="","",'App Log'!J170)</f>
      </c>
      <c r="Y170" s="5">
        <f>IF(AND('Actual Game'!J170="",'App Log'!J170=""),"",IF(TRIM('Actual Game'!J170&amp;"")=TRIM('App Log'!J170&amp;""),"MATCH","DIFF"))</f>
      </c>
      <c r="Z170" s="5">
        <f>IF('Actual Game'!K170="","",'Actual Game'!K170)</f>
      </c>
      <c r="AA170" s="5">
        <f>IF('App Log'!K170="","",'App Log'!K170)</f>
      </c>
      <c r="AB170" s="5">
        <f>IF(AND('Actual Game'!K170="",'App Log'!K170=""),"",IF(TRIM('Actual Game'!K170&amp;"")=TRIM('App Log'!K170&amp;""),"MATCH","DIFF"))</f>
      </c>
      <c r="AC170" s="5">
        <f>IF(AND('Actual Game'!A170="",'App Log'!A170=""),"",IF(COUNTIF(D170:AB170,"DIFF")=0,"MATCH","CHECK"))</f>
      </c>
    </row>
    <row r="171" ht="19" customHeight="1">
      <c r="A171" s="5"/>
      <c r="B171" s="5">
        <f>IF('Actual Game'!B171="","",'Actual Game'!B171)</f>
      </c>
      <c r="C171" s="5">
        <f>IF('App Log'!B171="","",'App Log'!B171)</f>
      </c>
      <c r="D171" s="5">
        <f>IF(AND('Actual Game'!B171="",'App Log'!B171=""),"",IF(TRIM('Actual Game'!B171&amp;"")=TRIM('App Log'!B171&amp;""),"MATCH","DIFF"))</f>
      </c>
      <c r="E171" s="5">
        <f>IF('Actual Game'!C171="","",'Actual Game'!C171)</f>
      </c>
      <c r="F171" s="5">
        <f>IF('App Log'!C171="","",'App Log'!C171)</f>
      </c>
      <c r="G171" s="5">
        <f>IF(AND('Actual Game'!C171="",'App Log'!C171=""),"",IF(TRIM('Actual Game'!C171&amp;"")=TRIM('App Log'!C171&amp;""),"MATCH","DIFF"))</f>
      </c>
      <c r="H171" s="5">
        <f>IF('Actual Game'!D171="","",'Actual Game'!D171)</f>
      </c>
      <c r="I171" s="5">
        <f>IF('App Log'!D171="","",'App Log'!D171)</f>
      </c>
      <c r="J171" s="5">
        <f>IF(AND('Actual Game'!D171="",'App Log'!D171=""),"",IF(TRIM('Actual Game'!D171&amp;"")=TRIM('App Log'!D171&amp;""),"MATCH","DIFF"))</f>
      </c>
      <c r="K171" s="5">
        <f>IF('Actual Game'!E171="","",'Actual Game'!E171)</f>
      </c>
      <c r="L171" s="5">
        <f>IF('App Log'!E171="","",'App Log'!E171)</f>
      </c>
      <c r="M171" s="5">
        <f>IF(AND('Actual Game'!E171="",'App Log'!E171=""),"",IF(TRIM('Actual Game'!E171&amp;"")=TRIM('App Log'!E171&amp;""),"MATCH","DIFF"))</f>
      </c>
      <c r="N171" s="5">
        <f>IF('Actual Game'!F171="","",'Actual Game'!F171)</f>
      </c>
      <c r="O171" s="5">
        <f>IF('App Log'!F171="","",'App Log'!F171)</f>
      </c>
      <c r="P171" s="5">
        <f>IF(AND('Actual Game'!F171="",'App Log'!F171=""),"",IF(TRIM('Actual Game'!F171&amp;"")=TRIM('App Log'!F171&amp;""),"MATCH","DIFF"))</f>
      </c>
      <c r="Q171" s="5">
        <f>IF('Actual Game'!I171="","",'Actual Game'!I171)</f>
      </c>
      <c r="R171" s="5">
        <f>IF('App Log'!I171="","",'App Log'!I171)</f>
      </c>
      <c r="S171" s="5">
        <f>IF(AND('Actual Game'!I171="",'App Log'!I171=""),"",IF(TRIM('Actual Game'!I171&amp;"")=TRIM('App Log'!I171&amp;""),"MATCH","DIFF"))</f>
      </c>
      <c r="T171" s="5">
        <f>IF('Actual Game'!H171="","",'Actual Game'!H171)</f>
      </c>
      <c r="U171" s="5">
        <f>IF('App Log'!H171="","",'App Log'!H171)</f>
      </c>
      <c r="V171" s="5">
        <f>IF(AND('Actual Game'!H171="",'App Log'!H171=""),"",IF(TRIM('Actual Game'!H171&amp;"")=TRIM('App Log'!H171&amp;""),"MATCH","DIFF"))</f>
      </c>
      <c r="W171" s="5">
        <f>IF('Actual Game'!J171="","",'Actual Game'!J171)</f>
      </c>
      <c r="X171" s="5">
        <f>IF('App Log'!J171="","",'App Log'!J171)</f>
      </c>
      <c r="Y171" s="5">
        <f>IF(AND('Actual Game'!J171="",'App Log'!J171=""),"",IF(TRIM('Actual Game'!J171&amp;"")=TRIM('App Log'!J171&amp;""),"MATCH","DIFF"))</f>
      </c>
      <c r="Z171" s="5">
        <f>IF('Actual Game'!K171="","",'Actual Game'!K171)</f>
      </c>
      <c r="AA171" s="5">
        <f>IF('App Log'!K171="","",'App Log'!K171)</f>
      </c>
      <c r="AB171" s="5">
        <f>IF(AND('Actual Game'!K171="",'App Log'!K171=""),"",IF(TRIM('Actual Game'!K171&amp;"")=TRIM('App Log'!K171&amp;""),"MATCH","DIFF"))</f>
      </c>
      <c r="AC171" s="5">
        <f>IF(AND('Actual Game'!A171="",'App Log'!A171=""),"",IF(COUNTIF(D171:AB171,"DIFF")=0,"MATCH","CHECK"))</f>
      </c>
    </row>
    <row r="172" ht="19" customHeight="1">
      <c r="A172" s="5"/>
      <c r="B172" s="5">
        <f>IF('Actual Game'!B172="","",'Actual Game'!B172)</f>
      </c>
      <c r="C172" s="5">
        <f>IF('App Log'!B172="","",'App Log'!B172)</f>
      </c>
      <c r="D172" s="5">
        <f>IF(AND('Actual Game'!B172="",'App Log'!B172=""),"",IF(TRIM('Actual Game'!B172&amp;"")=TRIM('App Log'!B172&amp;""),"MATCH","DIFF"))</f>
      </c>
      <c r="E172" s="5">
        <f>IF('Actual Game'!C172="","",'Actual Game'!C172)</f>
      </c>
      <c r="F172" s="5">
        <f>IF('App Log'!C172="","",'App Log'!C172)</f>
      </c>
      <c r="G172" s="5">
        <f>IF(AND('Actual Game'!C172="",'App Log'!C172=""),"",IF(TRIM('Actual Game'!C172&amp;"")=TRIM('App Log'!C172&amp;""),"MATCH","DIFF"))</f>
      </c>
      <c r="H172" s="5">
        <f>IF('Actual Game'!D172="","",'Actual Game'!D172)</f>
      </c>
      <c r="I172" s="5">
        <f>IF('App Log'!D172="","",'App Log'!D172)</f>
      </c>
      <c r="J172" s="5">
        <f>IF(AND('Actual Game'!D172="",'App Log'!D172=""),"",IF(TRIM('Actual Game'!D172&amp;"")=TRIM('App Log'!D172&amp;""),"MATCH","DIFF"))</f>
      </c>
      <c r="K172" s="5">
        <f>IF('Actual Game'!E172="","",'Actual Game'!E172)</f>
      </c>
      <c r="L172" s="5">
        <f>IF('App Log'!E172="","",'App Log'!E172)</f>
      </c>
      <c r="M172" s="5">
        <f>IF(AND('Actual Game'!E172="",'App Log'!E172=""),"",IF(TRIM('Actual Game'!E172&amp;"")=TRIM('App Log'!E172&amp;""),"MATCH","DIFF"))</f>
      </c>
      <c r="N172" s="5">
        <f>IF('Actual Game'!F172="","",'Actual Game'!F172)</f>
      </c>
      <c r="O172" s="5">
        <f>IF('App Log'!F172="","",'App Log'!F172)</f>
      </c>
      <c r="P172" s="5">
        <f>IF(AND('Actual Game'!F172="",'App Log'!F172=""),"",IF(TRIM('Actual Game'!F172&amp;"")=TRIM('App Log'!F172&amp;""),"MATCH","DIFF"))</f>
      </c>
      <c r="Q172" s="5">
        <f>IF('Actual Game'!I172="","",'Actual Game'!I172)</f>
      </c>
      <c r="R172" s="5">
        <f>IF('App Log'!I172="","",'App Log'!I172)</f>
      </c>
      <c r="S172" s="5">
        <f>IF(AND('Actual Game'!I172="",'App Log'!I172=""),"",IF(TRIM('Actual Game'!I172&amp;"")=TRIM('App Log'!I172&amp;""),"MATCH","DIFF"))</f>
      </c>
      <c r="T172" s="5">
        <f>IF('Actual Game'!H172="","",'Actual Game'!H172)</f>
      </c>
      <c r="U172" s="5">
        <f>IF('App Log'!H172="","",'App Log'!H172)</f>
      </c>
      <c r="V172" s="5">
        <f>IF(AND('Actual Game'!H172="",'App Log'!H172=""),"",IF(TRIM('Actual Game'!H172&amp;"")=TRIM('App Log'!H172&amp;""),"MATCH","DIFF"))</f>
      </c>
      <c r="W172" s="5">
        <f>IF('Actual Game'!J172="","",'Actual Game'!J172)</f>
      </c>
      <c r="X172" s="5">
        <f>IF('App Log'!J172="","",'App Log'!J172)</f>
      </c>
      <c r="Y172" s="5">
        <f>IF(AND('Actual Game'!J172="",'App Log'!J172=""),"",IF(TRIM('Actual Game'!J172&amp;"")=TRIM('App Log'!J172&amp;""),"MATCH","DIFF"))</f>
      </c>
      <c r="Z172" s="5">
        <f>IF('Actual Game'!K172="","",'Actual Game'!K172)</f>
      </c>
      <c r="AA172" s="5">
        <f>IF('App Log'!K172="","",'App Log'!K172)</f>
      </c>
      <c r="AB172" s="5">
        <f>IF(AND('Actual Game'!K172="",'App Log'!K172=""),"",IF(TRIM('Actual Game'!K172&amp;"")=TRIM('App Log'!K172&amp;""),"MATCH","DIFF"))</f>
      </c>
      <c r="AC172" s="5">
        <f>IF(AND('Actual Game'!A172="",'App Log'!A172=""),"",IF(COUNTIF(D172:AB172,"DIFF")=0,"MATCH","CHECK"))</f>
      </c>
    </row>
    <row r="173" ht="19" customHeight="1">
      <c r="A173" s="5"/>
      <c r="B173" s="5">
        <f>IF('Actual Game'!B173="","",'Actual Game'!B173)</f>
      </c>
      <c r="C173" s="5">
        <f>IF('App Log'!B173="","",'App Log'!B173)</f>
      </c>
      <c r="D173" s="5">
        <f>IF(AND('Actual Game'!B173="",'App Log'!B173=""),"",IF(TRIM('Actual Game'!B173&amp;"")=TRIM('App Log'!B173&amp;""),"MATCH","DIFF"))</f>
      </c>
      <c r="E173" s="5">
        <f>IF('Actual Game'!C173="","",'Actual Game'!C173)</f>
      </c>
      <c r="F173" s="5">
        <f>IF('App Log'!C173="","",'App Log'!C173)</f>
      </c>
      <c r="G173" s="5">
        <f>IF(AND('Actual Game'!C173="",'App Log'!C173=""),"",IF(TRIM('Actual Game'!C173&amp;"")=TRIM('App Log'!C173&amp;""),"MATCH","DIFF"))</f>
      </c>
      <c r="H173" s="5">
        <f>IF('Actual Game'!D173="","",'Actual Game'!D173)</f>
      </c>
      <c r="I173" s="5">
        <f>IF('App Log'!D173="","",'App Log'!D173)</f>
      </c>
      <c r="J173" s="5">
        <f>IF(AND('Actual Game'!D173="",'App Log'!D173=""),"",IF(TRIM('Actual Game'!D173&amp;"")=TRIM('App Log'!D173&amp;""),"MATCH","DIFF"))</f>
      </c>
      <c r="K173" s="5">
        <f>IF('Actual Game'!E173="","",'Actual Game'!E173)</f>
      </c>
      <c r="L173" s="5">
        <f>IF('App Log'!E173="","",'App Log'!E173)</f>
      </c>
      <c r="M173" s="5">
        <f>IF(AND('Actual Game'!E173="",'App Log'!E173=""),"",IF(TRIM('Actual Game'!E173&amp;"")=TRIM('App Log'!E173&amp;""),"MATCH","DIFF"))</f>
      </c>
      <c r="N173" s="5">
        <f>IF('Actual Game'!F173="","",'Actual Game'!F173)</f>
      </c>
      <c r="O173" s="5">
        <f>IF('App Log'!F173="","",'App Log'!F173)</f>
      </c>
      <c r="P173" s="5">
        <f>IF(AND('Actual Game'!F173="",'App Log'!F173=""),"",IF(TRIM('Actual Game'!F173&amp;"")=TRIM('App Log'!F173&amp;""),"MATCH","DIFF"))</f>
      </c>
      <c r="Q173" s="5">
        <f>IF('Actual Game'!I173="","",'Actual Game'!I173)</f>
      </c>
      <c r="R173" s="5">
        <f>IF('App Log'!I173="","",'App Log'!I173)</f>
      </c>
      <c r="S173" s="5">
        <f>IF(AND('Actual Game'!I173="",'App Log'!I173=""),"",IF(TRIM('Actual Game'!I173&amp;"")=TRIM('App Log'!I173&amp;""),"MATCH","DIFF"))</f>
      </c>
      <c r="T173" s="5">
        <f>IF('Actual Game'!H173="","",'Actual Game'!H173)</f>
      </c>
      <c r="U173" s="5">
        <f>IF('App Log'!H173="","",'App Log'!H173)</f>
      </c>
      <c r="V173" s="5">
        <f>IF(AND('Actual Game'!H173="",'App Log'!H173=""),"",IF(TRIM('Actual Game'!H173&amp;"")=TRIM('App Log'!H173&amp;""),"MATCH","DIFF"))</f>
      </c>
      <c r="W173" s="5">
        <f>IF('Actual Game'!J173="","",'Actual Game'!J173)</f>
      </c>
      <c r="X173" s="5">
        <f>IF('App Log'!J173="","",'App Log'!J173)</f>
      </c>
      <c r="Y173" s="5">
        <f>IF(AND('Actual Game'!J173="",'App Log'!J173=""),"",IF(TRIM('Actual Game'!J173&amp;"")=TRIM('App Log'!J173&amp;""),"MATCH","DIFF"))</f>
      </c>
      <c r="Z173" s="5">
        <f>IF('Actual Game'!K173="","",'Actual Game'!K173)</f>
      </c>
      <c r="AA173" s="5">
        <f>IF('App Log'!K173="","",'App Log'!K173)</f>
      </c>
      <c r="AB173" s="5">
        <f>IF(AND('Actual Game'!K173="",'App Log'!K173=""),"",IF(TRIM('Actual Game'!K173&amp;"")=TRIM('App Log'!K173&amp;""),"MATCH","DIFF"))</f>
      </c>
      <c r="AC173" s="5">
        <f>IF(AND('Actual Game'!A173="",'App Log'!A173=""),"",IF(COUNTIF(D173:AB173,"DIFF")=0,"MATCH","CHECK"))</f>
      </c>
    </row>
    <row r="174" ht="19" customHeight="1">
      <c r="A174" s="5"/>
      <c r="B174" s="5">
        <f>IF('Actual Game'!B174="","",'Actual Game'!B174)</f>
      </c>
      <c r="C174" s="5">
        <f>IF('App Log'!B174="","",'App Log'!B174)</f>
      </c>
      <c r="D174" s="5">
        <f>IF(AND('Actual Game'!B174="",'App Log'!B174=""),"",IF(TRIM('Actual Game'!B174&amp;"")=TRIM('App Log'!B174&amp;""),"MATCH","DIFF"))</f>
      </c>
      <c r="E174" s="5">
        <f>IF('Actual Game'!C174="","",'Actual Game'!C174)</f>
      </c>
      <c r="F174" s="5">
        <f>IF('App Log'!C174="","",'App Log'!C174)</f>
      </c>
      <c r="G174" s="5">
        <f>IF(AND('Actual Game'!C174="",'App Log'!C174=""),"",IF(TRIM('Actual Game'!C174&amp;"")=TRIM('App Log'!C174&amp;""),"MATCH","DIFF"))</f>
      </c>
      <c r="H174" s="5">
        <f>IF('Actual Game'!D174="","",'Actual Game'!D174)</f>
      </c>
      <c r="I174" s="5">
        <f>IF('App Log'!D174="","",'App Log'!D174)</f>
      </c>
      <c r="J174" s="5">
        <f>IF(AND('Actual Game'!D174="",'App Log'!D174=""),"",IF(TRIM('Actual Game'!D174&amp;"")=TRIM('App Log'!D174&amp;""),"MATCH","DIFF"))</f>
      </c>
      <c r="K174" s="5">
        <f>IF('Actual Game'!E174="","",'Actual Game'!E174)</f>
      </c>
      <c r="L174" s="5">
        <f>IF('App Log'!E174="","",'App Log'!E174)</f>
      </c>
      <c r="M174" s="5">
        <f>IF(AND('Actual Game'!E174="",'App Log'!E174=""),"",IF(TRIM('Actual Game'!E174&amp;"")=TRIM('App Log'!E174&amp;""),"MATCH","DIFF"))</f>
      </c>
      <c r="N174" s="5">
        <f>IF('Actual Game'!F174="","",'Actual Game'!F174)</f>
      </c>
      <c r="O174" s="5">
        <f>IF('App Log'!F174="","",'App Log'!F174)</f>
      </c>
      <c r="P174" s="5">
        <f>IF(AND('Actual Game'!F174="",'App Log'!F174=""),"",IF(TRIM('Actual Game'!F174&amp;"")=TRIM('App Log'!F174&amp;""),"MATCH","DIFF"))</f>
      </c>
      <c r="Q174" s="5">
        <f>IF('Actual Game'!I174="","",'Actual Game'!I174)</f>
      </c>
      <c r="R174" s="5">
        <f>IF('App Log'!I174="","",'App Log'!I174)</f>
      </c>
      <c r="S174" s="5">
        <f>IF(AND('Actual Game'!I174="",'App Log'!I174=""),"",IF(TRIM('Actual Game'!I174&amp;"")=TRIM('App Log'!I174&amp;""),"MATCH","DIFF"))</f>
      </c>
      <c r="T174" s="5">
        <f>IF('Actual Game'!H174="","",'Actual Game'!H174)</f>
      </c>
      <c r="U174" s="5">
        <f>IF('App Log'!H174="","",'App Log'!H174)</f>
      </c>
      <c r="V174" s="5">
        <f>IF(AND('Actual Game'!H174="",'App Log'!H174=""),"",IF(TRIM('Actual Game'!H174&amp;"")=TRIM('App Log'!H174&amp;""),"MATCH","DIFF"))</f>
      </c>
      <c r="W174" s="5">
        <f>IF('Actual Game'!J174="","",'Actual Game'!J174)</f>
      </c>
      <c r="X174" s="5">
        <f>IF('App Log'!J174="","",'App Log'!J174)</f>
      </c>
      <c r="Y174" s="5">
        <f>IF(AND('Actual Game'!J174="",'App Log'!J174=""),"",IF(TRIM('Actual Game'!J174&amp;"")=TRIM('App Log'!J174&amp;""),"MATCH","DIFF"))</f>
      </c>
      <c r="Z174" s="5">
        <f>IF('Actual Game'!K174="","",'Actual Game'!K174)</f>
      </c>
      <c r="AA174" s="5">
        <f>IF('App Log'!K174="","",'App Log'!K174)</f>
      </c>
      <c r="AB174" s="5">
        <f>IF(AND('Actual Game'!K174="",'App Log'!K174=""),"",IF(TRIM('Actual Game'!K174&amp;"")=TRIM('App Log'!K174&amp;""),"MATCH","DIFF"))</f>
      </c>
      <c r="AC174" s="5">
        <f>IF(AND('Actual Game'!A174="",'App Log'!A174=""),"",IF(COUNTIF(D174:AB174,"DIFF")=0,"MATCH","CHECK"))</f>
      </c>
    </row>
    <row r="175" ht="19" customHeight="1">
      <c r="A175" s="5"/>
      <c r="B175" s="5">
        <f>IF('Actual Game'!B175="","",'Actual Game'!B175)</f>
      </c>
      <c r="C175" s="5">
        <f>IF('App Log'!B175="","",'App Log'!B175)</f>
      </c>
      <c r="D175" s="5">
        <f>IF(AND('Actual Game'!B175="",'App Log'!B175=""),"",IF(TRIM('Actual Game'!B175&amp;"")=TRIM('App Log'!B175&amp;""),"MATCH","DIFF"))</f>
      </c>
      <c r="E175" s="5">
        <f>IF('Actual Game'!C175="","",'Actual Game'!C175)</f>
      </c>
      <c r="F175" s="5">
        <f>IF('App Log'!C175="","",'App Log'!C175)</f>
      </c>
      <c r="G175" s="5">
        <f>IF(AND('Actual Game'!C175="",'App Log'!C175=""),"",IF(TRIM('Actual Game'!C175&amp;"")=TRIM('App Log'!C175&amp;""),"MATCH","DIFF"))</f>
      </c>
      <c r="H175" s="5">
        <f>IF('Actual Game'!D175="","",'Actual Game'!D175)</f>
      </c>
      <c r="I175" s="5">
        <f>IF('App Log'!D175="","",'App Log'!D175)</f>
      </c>
      <c r="J175" s="5">
        <f>IF(AND('Actual Game'!D175="",'App Log'!D175=""),"",IF(TRIM('Actual Game'!D175&amp;"")=TRIM('App Log'!D175&amp;""),"MATCH","DIFF"))</f>
      </c>
      <c r="K175" s="5">
        <f>IF('Actual Game'!E175="","",'Actual Game'!E175)</f>
      </c>
      <c r="L175" s="5">
        <f>IF('App Log'!E175="","",'App Log'!E175)</f>
      </c>
      <c r="M175" s="5">
        <f>IF(AND('Actual Game'!E175="",'App Log'!E175=""),"",IF(TRIM('Actual Game'!E175&amp;"")=TRIM('App Log'!E175&amp;""),"MATCH","DIFF"))</f>
      </c>
      <c r="N175" s="5">
        <f>IF('Actual Game'!F175="","",'Actual Game'!F175)</f>
      </c>
      <c r="O175" s="5">
        <f>IF('App Log'!F175="","",'App Log'!F175)</f>
      </c>
      <c r="P175" s="5">
        <f>IF(AND('Actual Game'!F175="",'App Log'!F175=""),"",IF(TRIM('Actual Game'!F175&amp;"")=TRIM('App Log'!F175&amp;""),"MATCH","DIFF"))</f>
      </c>
      <c r="Q175" s="5">
        <f>IF('Actual Game'!I175="","",'Actual Game'!I175)</f>
      </c>
      <c r="R175" s="5">
        <f>IF('App Log'!I175="","",'App Log'!I175)</f>
      </c>
      <c r="S175" s="5">
        <f>IF(AND('Actual Game'!I175="",'App Log'!I175=""),"",IF(TRIM('Actual Game'!I175&amp;"")=TRIM('App Log'!I175&amp;""),"MATCH","DIFF"))</f>
      </c>
      <c r="T175" s="5">
        <f>IF('Actual Game'!H175="","",'Actual Game'!H175)</f>
      </c>
      <c r="U175" s="5">
        <f>IF('App Log'!H175="","",'App Log'!H175)</f>
      </c>
      <c r="V175" s="5">
        <f>IF(AND('Actual Game'!H175="",'App Log'!H175=""),"",IF(TRIM('Actual Game'!H175&amp;"")=TRIM('App Log'!H175&amp;""),"MATCH","DIFF"))</f>
      </c>
      <c r="W175" s="5">
        <f>IF('Actual Game'!J175="","",'Actual Game'!J175)</f>
      </c>
      <c r="X175" s="5">
        <f>IF('App Log'!J175="","",'App Log'!J175)</f>
      </c>
      <c r="Y175" s="5">
        <f>IF(AND('Actual Game'!J175="",'App Log'!J175=""),"",IF(TRIM('Actual Game'!J175&amp;"")=TRIM('App Log'!J175&amp;""),"MATCH","DIFF"))</f>
      </c>
      <c r="Z175" s="5">
        <f>IF('Actual Game'!K175="","",'Actual Game'!K175)</f>
      </c>
      <c r="AA175" s="5">
        <f>IF('App Log'!K175="","",'App Log'!K175)</f>
      </c>
      <c r="AB175" s="5">
        <f>IF(AND('Actual Game'!K175="",'App Log'!K175=""),"",IF(TRIM('Actual Game'!K175&amp;"")=TRIM('App Log'!K175&amp;""),"MATCH","DIFF"))</f>
      </c>
      <c r="AC175" s="5">
        <f>IF(AND('Actual Game'!A175="",'App Log'!A175=""),"",IF(COUNTIF(D175:AB175,"DIFF")=0,"MATCH","CHECK"))</f>
      </c>
    </row>
    <row r="176" ht="19" customHeight="1">
      <c r="A176" s="5"/>
      <c r="B176" s="5">
        <f>IF('Actual Game'!B176="","",'Actual Game'!B176)</f>
      </c>
      <c r="C176" s="5">
        <f>IF('App Log'!B176="","",'App Log'!B176)</f>
      </c>
      <c r="D176" s="5">
        <f>IF(AND('Actual Game'!B176="",'App Log'!B176=""),"",IF(TRIM('Actual Game'!B176&amp;"")=TRIM('App Log'!B176&amp;""),"MATCH","DIFF"))</f>
      </c>
      <c r="E176" s="5">
        <f>IF('Actual Game'!C176="","",'Actual Game'!C176)</f>
      </c>
      <c r="F176" s="5">
        <f>IF('App Log'!C176="","",'App Log'!C176)</f>
      </c>
      <c r="G176" s="5">
        <f>IF(AND('Actual Game'!C176="",'App Log'!C176=""),"",IF(TRIM('Actual Game'!C176&amp;"")=TRIM('App Log'!C176&amp;""),"MATCH","DIFF"))</f>
      </c>
      <c r="H176" s="5">
        <f>IF('Actual Game'!D176="","",'Actual Game'!D176)</f>
      </c>
      <c r="I176" s="5">
        <f>IF('App Log'!D176="","",'App Log'!D176)</f>
      </c>
      <c r="J176" s="5">
        <f>IF(AND('Actual Game'!D176="",'App Log'!D176=""),"",IF(TRIM('Actual Game'!D176&amp;"")=TRIM('App Log'!D176&amp;""),"MATCH","DIFF"))</f>
      </c>
      <c r="K176" s="5">
        <f>IF('Actual Game'!E176="","",'Actual Game'!E176)</f>
      </c>
      <c r="L176" s="5">
        <f>IF('App Log'!E176="","",'App Log'!E176)</f>
      </c>
      <c r="M176" s="5">
        <f>IF(AND('Actual Game'!E176="",'App Log'!E176=""),"",IF(TRIM('Actual Game'!E176&amp;"")=TRIM('App Log'!E176&amp;""),"MATCH","DIFF"))</f>
      </c>
      <c r="N176" s="5">
        <f>IF('Actual Game'!F176="","",'Actual Game'!F176)</f>
      </c>
      <c r="O176" s="5">
        <f>IF('App Log'!F176="","",'App Log'!F176)</f>
      </c>
      <c r="P176" s="5">
        <f>IF(AND('Actual Game'!F176="",'App Log'!F176=""),"",IF(TRIM('Actual Game'!F176&amp;"")=TRIM('App Log'!F176&amp;""),"MATCH","DIFF"))</f>
      </c>
      <c r="Q176" s="5">
        <f>IF('Actual Game'!I176="","",'Actual Game'!I176)</f>
      </c>
      <c r="R176" s="5">
        <f>IF('App Log'!I176="","",'App Log'!I176)</f>
      </c>
      <c r="S176" s="5">
        <f>IF(AND('Actual Game'!I176="",'App Log'!I176=""),"",IF(TRIM('Actual Game'!I176&amp;"")=TRIM('App Log'!I176&amp;""),"MATCH","DIFF"))</f>
      </c>
      <c r="T176" s="5">
        <f>IF('Actual Game'!H176="","",'Actual Game'!H176)</f>
      </c>
      <c r="U176" s="5">
        <f>IF('App Log'!H176="","",'App Log'!H176)</f>
      </c>
      <c r="V176" s="5">
        <f>IF(AND('Actual Game'!H176="",'App Log'!H176=""),"",IF(TRIM('Actual Game'!H176&amp;"")=TRIM('App Log'!H176&amp;""),"MATCH","DIFF"))</f>
      </c>
      <c r="W176" s="5">
        <f>IF('Actual Game'!J176="","",'Actual Game'!J176)</f>
      </c>
      <c r="X176" s="5">
        <f>IF('App Log'!J176="","",'App Log'!J176)</f>
      </c>
      <c r="Y176" s="5">
        <f>IF(AND('Actual Game'!J176="",'App Log'!J176=""),"",IF(TRIM('Actual Game'!J176&amp;"")=TRIM('App Log'!J176&amp;""),"MATCH","DIFF"))</f>
      </c>
      <c r="Z176" s="5">
        <f>IF('Actual Game'!K176="","",'Actual Game'!K176)</f>
      </c>
      <c r="AA176" s="5">
        <f>IF('App Log'!K176="","",'App Log'!K176)</f>
      </c>
      <c r="AB176" s="5">
        <f>IF(AND('Actual Game'!K176="",'App Log'!K176=""),"",IF(TRIM('Actual Game'!K176&amp;"")=TRIM('App Log'!K176&amp;""),"MATCH","DIFF"))</f>
      </c>
      <c r="AC176" s="5">
        <f>IF(AND('Actual Game'!A176="",'App Log'!A176=""),"",IF(COUNTIF(D176:AB176,"DIFF")=0,"MATCH","CHECK"))</f>
      </c>
    </row>
    <row r="177" ht="19" customHeight="1">
      <c r="A177" s="5"/>
      <c r="B177" s="5">
        <f>IF('Actual Game'!B177="","",'Actual Game'!B177)</f>
      </c>
      <c r="C177" s="5">
        <f>IF('App Log'!B177="","",'App Log'!B177)</f>
      </c>
      <c r="D177" s="5">
        <f>IF(AND('Actual Game'!B177="",'App Log'!B177=""),"",IF(TRIM('Actual Game'!B177&amp;"")=TRIM('App Log'!B177&amp;""),"MATCH","DIFF"))</f>
      </c>
      <c r="E177" s="5">
        <f>IF('Actual Game'!C177="","",'Actual Game'!C177)</f>
      </c>
      <c r="F177" s="5">
        <f>IF('App Log'!C177="","",'App Log'!C177)</f>
      </c>
      <c r="G177" s="5">
        <f>IF(AND('Actual Game'!C177="",'App Log'!C177=""),"",IF(TRIM('Actual Game'!C177&amp;"")=TRIM('App Log'!C177&amp;""),"MATCH","DIFF"))</f>
      </c>
      <c r="H177" s="5">
        <f>IF('Actual Game'!D177="","",'Actual Game'!D177)</f>
      </c>
      <c r="I177" s="5">
        <f>IF('App Log'!D177="","",'App Log'!D177)</f>
      </c>
      <c r="J177" s="5">
        <f>IF(AND('Actual Game'!D177="",'App Log'!D177=""),"",IF(TRIM('Actual Game'!D177&amp;"")=TRIM('App Log'!D177&amp;""),"MATCH","DIFF"))</f>
      </c>
      <c r="K177" s="5">
        <f>IF('Actual Game'!E177="","",'Actual Game'!E177)</f>
      </c>
      <c r="L177" s="5">
        <f>IF('App Log'!E177="","",'App Log'!E177)</f>
      </c>
      <c r="M177" s="5">
        <f>IF(AND('Actual Game'!E177="",'App Log'!E177=""),"",IF(TRIM('Actual Game'!E177&amp;"")=TRIM('App Log'!E177&amp;""),"MATCH","DIFF"))</f>
      </c>
      <c r="N177" s="5">
        <f>IF('Actual Game'!F177="","",'Actual Game'!F177)</f>
      </c>
      <c r="O177" s="5">
        <f>IF('App Log'!F177="","",'App Log'!F177)</f>
      </c>
      <c r="P177" s="5">
        <f>IF(AND('Actual Game'!F177="",'App Log'!F177=""),"",IF(TRIM('Actual Game'!F177&amp;"")=TRIM('App Log'!F177&amp;""),"MATCH","DIFF"))</f>
      </c>
      <c r="Q177" s="5">
        <f>IF('Actual Game'!I177="","",'Actual Game'!I177)</f>
      </c>
      <c r="R177" s="5">
        <f>IF('App Log'!I177="","",'App Log'!I177)</f>
      </c>
      <c r="S177" s="5">
        <f>IF(AND('Actual Game'!I177="",'App Log'!I177=""),"",IF(TRIM('Actual Game'!I177&amp;"")=TRIM('App Log'!I177&amp;""),"MATCH","DIFF"))</f>
      </c>
      <c r="T177" s="5">
        <f>IF('Actual Game'!H177="","",'Actual Game'!H177)</f>
      </c>
      <c r="U177" s="5">
        <f>IF('App Log'!H177="","",'App Log'!H177)</f>
      </c>
      <c r="V177" s="5">
        <f>IF(AND('Actual Game'!H177="",'App Log'!H177=""),"",IF(TRIM('Actual Game'!H177&amp;"")=TRIM('App Log'!H177&amp;""),"MATCH","DIFF"))</f>
      </c>
      <c r="W177" s="5">
        <f>IF('Actual Game'!J177="","",'Actual Game'!J177)</f>
      </c>
      <c r="X177" s="5">
        <f>IF('App Log'!J177="","",'App Log'!J177)</f>
      </c>
      <c r="Y177" s="5">
        <f>IF(AND('Actual Game'!J177="",'App Log'!J177=""),"",IF(TRIM('Actual Game'!J177&amp;"")=TRIM('App Log'!J177&amp;""),"MATCH","DIFF"))</f>
      </c>
      <c r="Z177" s="5">
        <f>IF('Actual Game'!K177="","",'Actual Game'!K177)</f>
      </c>
      <c r="AA177" s="5">
        <f>IF('App Log'!K177="","",'App Log'!K177)</f>
      </c>
      <c r="AB177" s="5">
        <f>IF(AND('Actual Game'!K177="",'App Log'!K177=""),"",IF(TRIM('Actual Game'!K177&amp;"")=TRIM('App Log'!K177&amp;""),"MATCH","DIFF"))</f>
      </c>
      <c r="AC177" s="5">
        <f>IF(AND('Actual Game'!A177="",'App Log'!A177=""),"",IF(COUNTIF(D177:AB177,"DIFF")=0,"MATCH","CHECK"))</f>
      </c>
    </row>
    <row r="178" ht="19" customHeight="1">
      <c r="A178" s="5"/>
      <c r="B178" s="5">
        <f>IF('Actual Game'!B178="","",'Actual Game'!B178)</f>
      </c>
      <c r="C178" s="5">
        <f>IF('App Log'!B178="","",'App Log'!B178)</f>
      </c>
      <c r="D178" s="5">
        <f>IF(AND('Actual Game'!B178="",'App Log'!B178=""),"",IF(TRIM('Actual Game'!B178&amp;"")=TRIM('App Log'!B178&amp;""),"MATCH","DIFF"))</f>
      </c>
      <c r="E178" s="5">
        <f>IF('Actual Game'!C178="","",'Actual Game'!C178)</f>
      </c>
      <c r="F178" s="5">
        <f>IF('App Log'!C178="","",'App Log'!C178)</f>
      </c>
      <c r="G178" s="5">
        <f>IF(AND('Actual Game'!C178="",'App Log'!C178=""),"",IF(TRIM('Actual Game'!C178&amp;"")=TRIM('App Log'!C178&amp;""),"MATCH","DIFF"))</f>
      </c>
      <c r="H178" s="5">
        <f>IF('Actual Game'!D178="","",'Actual Game'!D178)</f>
      </c>
      <c r="I178" s="5">
        <f>IF('App Log'!D178="","",'App Log'!D178)</f>
      </c>
      <c r="J178" s="5">
        <f>IF(AND('Actual Game'!D178="",'App Log'!D178=""),"",IF(TRIM('Actual Game'!D178&amp;"")=TRIM('App Log'!D178&amp;""),"MATCH","DIFF"))</f>
      </c>
      <c r="K178" s="5">
        <f>IF('Actual Game'!E178="","",'Actual Game'!E178)</f>
      </c>
      <c r="L178" s="5">
        <f>IF('App Log'!E178="","",'App Log'!E178)</f>
      </c>
      <c r="M178" s="5">
        <f>IF(AND('Actual Game'!E178="",'App Log'!E178=""),"",IF(TRIM('Actual Game'!E178&amp;"")=TRIM('App Log'!E178&amp;""),"MATCH","DIFF"))</f>
      </c>
      <c r="N178" s="5">
        <f>IF('Actual Game'!F178="","",'Actual Game'!F178)</f>
      </c>
      <c r="O178" s="5">
        <f>IF('App Log'!F178="","",'App Log'!F178)</f>
      </c>
      <c r="P178" s="5">
        <f>IF(AND('Actual Game'!F178="",'App Log'!F178=""),"",IF(TRIM('Actual Game'!F178&amp;"")=TRIM('App Log'!F178&amp;""),"MATCH","DIFF"))</f>
      </c>
      <c r="Q178" s="5">
        <f>IF('Actual Game'!I178="","",'Actual Game'!I178)</f>
      </c>
      <c r="R178" s="5">
        <f>IF('App Log'!I178="","",'App Log'!I178)</f>
      </c>
      <c r="S178" s="5">
        <f>IF(AND('Actual Game'!I178="",'App Log'!I178=""),"",IF(TRIM('Actual Game'!I178&amp;"")=TRIM('App Log'!I178&amp;""),"MATCH","DIFF"))</f>
      </c>
      <c r="T178" s="5">
        <f>IF('Actual Game'!H178="","",'Actual Game'!H178)</f>
      </c>
      <c r="U178" s="5">
        <f>IF('App Log'!H178="","",'App Log'!H178)</f>
      </c>
      <c r="V178" s="5">
        <f>IF(AND('Actual Game'!H178="",'App Log'!H178=""),"",IF(TRIM('Actual Game'!H178&amp;"")=TRIM('App Log'!H178&amp;""),"MATCH","DIFF"))</f>
      </c>
      <c r="W178" s="5">
        <f>IF('Actual Game'!J178="","",'Actual Game'!J178)</f>
      </c>
      <c r="X178" s="5">
        <f>IF('App Log'!J178="","",'App Log'!J178)</f>
      </c>
      <c r="Y178" s="5">
        <f>IF(AND('Actual Game'!J178="",'App Log'!J178=""),"",IF(TRIM('Actual Game'!J178&amp;"")=TRIM('App Log'!J178&amp;""),"MATCH","DIFF"))</f>
      </c>
      <c r="Z178" s="5">
        <f>IF('Actual Game'!K178="","",'Actual Game'!K178)</f>
      </c>
      <c r="AA178" s="5">
        <f>IF('App Log'!K178="","",'App Log'!K178)</f>
      </c>
      <c r="AB178" s="5">
        <f>IF(AND('Actual Game'!K178="",'App Log'!K178=""),"",IF(TRIM('Actual Game'!K178&amp;"")=TRIM('App Log'!K178&amp;""),"MATCH","DIFF"))</f>
      </c>
      <c r="AC178" s="5">
        <f>IF(AND('Actual Game'!A178="",'App Log'!A178=""),"",IF(COUNTIF(D178:AB178,"DIFF")=0,"MATCH","CHECK"))</f>
      </c>
    </row>
    <row r="179" ht="19" customHeight="1">
      <c r="A179" s="5"/>
      <c r="B179" s="5">
        <f>IF('Actual Game'!B179="","",'Actual Game'!B179)</f>
      </c>
      <c r="C179" s="5">
        <f>IF('App Log'!B179="","",'App Log'!B179)</f>
      </c>
      <c r="D179" s="5">
        <f>IF(AND('Actual Game'!B179="",'App Log'!B179=""),"",IF(TRIM('Actual Game'!B179&amp;"")=TRIM('App Log'!B179&amp;""),"MATCH","DIFF"))</f>
      </c>
      <c r="E179" s="5">
        <f>IF('Actual Game'!C179="","",'Actual Game'!C179)</f>
      </c>
      <c r="F179" s="5">
        <f>IF('App Log'!C179="","",'App Log'!C179)</f>
      </c>
      <c r="G179" s="5">
        <f>IF(AND('Actual Game'!C179="",'App Log'!C179=""),"",IF(TRIM('Actual Game'!C179&amp;"")=TRIM('App Log'!C179&amp;""),"MATCH","DIFF"))</f>
      </c>
      <c r="H179" s="5">
        <f>IF('Actual Game'!D179="","",'Actual Game'!D179)</f>
      </c>
      <c r="I179" s="5">
        <f>IF('App Log'!D179="","",'App Log'!D179)</f>
      </c>
      <c r="J179" s="5">
        <f>IF(AND('Actual Game'!D179="",'App Log'!D179=""),"",IF(TRIM('Actual Game'!D179&amp;"")=TRIM('App Log'!D179&amp;""),"MATCH","DIFF"))</f>
      </c>
      <c r="K179" s="5">
        <f>IF('Actual Game'!E179="","",'Actual Game'!E179)</f>
      </c>
      <c r="L179" s="5">
        <f>IF('App Log'!E179="","",'App Log'!E179)</f>
      </c>
      <c r="M179" s="5">
        <f>IF(AND('Actual Game'!E179="",'App Log'!E179=""),"",IF(TRIM('Actual Game'!E179&amp;"")=TRIM('App Log'!E179&amp;""),"MATCH","DIFF"))</f>
      </c>
      <c r="N179" s="5">
        <f>IF('Actual Game'!F179="","",'Actual Game'!F179)</f>
      </c>
      <c r="O179" s="5">
        <f>IF('App Log'!F179="","",'App Log'!F179)</f>
      </c>
      <c r="P179" s="5">
        <f>IF(AND('Actual Game'!F179="",'App Log'!F179=""),"",IF(TRIM('Actual Game'!F179&amp;"")=TRIM('App Log'!F179&amp;""),"MATCH","DIFF"))</f>
      </c>
      <c r="Q179" s="5">
        <f>IF('Actual Game'!I179="","",'Actual Game'!I179)</f>
      </c>
      <c r="R179" s="5">
        <f>IF('App Log'!I179="","",'App Log'!I179)</f>
      </c>
      <c r="S179" s="5">
        <f>IF(AND('Actual Game'!I179="",'App Log'!I179=""),"",IF(TRIM('Actual Game'!I179&amp;"")=TRIM('App Log'!I179&amp;""),"MATCH","DIFF"))</f>
      </c>
      <c r="T179" s="5">
        <f>IF('Actual Game'!H179="","",'Actual Game'!H179)</f>
      </c>
      <c r="U179" s="5">
        <f>IF('App Log'!H179="","",'App Log'!H179)</f>
      </c>
      <c r="V179" s="5">
        <f>IF(AND('Actual Game'!H179="",'App Log'!H179=""),"",IF(TRIM('Actual Game'!H179&amp;"")=TRIM('App Log'!H179&amp;""),"MATCH","DIFF"))</f>
      </c>
      <c r="W179" s="5">
        <f>IF('Actual Game'!J179="","",'Actual Game'!J179)</f>
      </c>
      <c r="X179" s="5">
        <f>IF('App Log'!J179="","",'App Log'!J179)</f>
      </c>
      <c r="Y179" s="5">
        <f>IF(AND('Actual Game'!J179="",'App Log'!J179=""),"",IF(TRIM('Actual Game'!J179&amp;"")=TRIM('App Log'!J179&amp;""),"MATCH","DIFF"))</f>
      </c>
      <c r="Z179" s="5">
        <f>IF('Actual Game'!K179="","",'Actual Game'!K179)</f>
      </c>
      <c r="AA179" s="5">
        <f>IF('App Log'!K179="","",'App Log'!K179)</f>
      </c>
      <c r="AB179" s="5">
        <f>IF(AND('Actual Game'!K179="",'App Log'!K179=""),"",IF(TRIM('Actual Game'!K179&amp;"")=TRIM('App Log'!K179&amp;""),"MATCH","DIFF"))</f>
      </c>
      <c r="AC179" s="5">
        <f>IF(AND('Actual Game'!A179="",'App Log'!A179=""),"",IF(COUNTIF(D179:AB179,"DIFF")=0,"MATCH","CHECK"))</f>
      </c>
    </row>
    <row r="180" ht="19" customHeight="1">
      <c r="A180" s="5"/>
      <c r="B180" s="5">
        <f>IF('Actual Game'!B180="","",'Actual Game'!B180)</f>
      </c>
      <c r="C180" s="5">
        <f>IF('App Log'!B180="","",'App Log'!B180)</f>
      </c>
      <c r="D180" s="5">
        <f>IF(AND('Actual Game'!B180="",'App Log'!B180=""),"",IF(TRIM('Actual Game'!B180&amp;"")=TRIM('App Log'!B180&amp;""),"MATCH","DIFF"))</f>
      </c>
      <c r="E180" s="5">
        <f>IF('Actual Game'!C180="","",'Actual Game'!C180)</f>
      </c>
      <c r="F180" s="5">
        <f>IF('App Log'!C180="","",'App Log'!C180)</f>
      </c>
      <c r="G180" s="5">
        <f>IF(AND('Actual Game'!C180="",'App Log'!C180=""),"",IF(TRIM('Actual Game'!C180&amp;"")=TRIM('App Log'!C180&amp;""),"MATCH","DIFF"))</f>
      </c>
      <c r="H180" s="5">
        <f>IF('Actual Game'!D180="","",'Actual Game'!D180)</f>
      </c>
      <c r="I180" s="5">
        <f>IF('App Log'!D180="","",'App Log'!D180)</f>
      </c>
      <c r="J180" s="5">
        <f>IF(AND('Actual Game'!D180="",'App Log'!D180=""),"",IF(TRIM('Actual Game'!D180&amp;"")=TRIM('App Log'!D180&amp;""),"MATCH","DIFF"))</f>
      </c>
      <c r="K180" s="5">
        <f>IF('Actual Game'!E180="","",'Actual Game'!E180)</f>
      </c>
      <c r="L180" s="5">
        <f>IF('App Log'!E180="","",'App Log'!E180)</f>
      </c>
      <c r="M180" s="5">
        <f>IF(AND('Actual Game'!E180="",'App Log'!E180=""),"",IF(TRIM('Actual Game'!E180&amp;"")=TRIM('App Log'!E180&amp;""),"MATCH","DIFF"))</f>
      </c>
      <c r="N180" s="5">
        <f>IF('Actual Game'!F180="","",'Actual Game'!F180)</f>
      </c>
      <c r="O180" s="5">
        <f>IF('App Log'!F180="","",'App Log'!F180)</f>
      </c>
      <c r="P180" s="5">
        <f>IF(AND('Actual Game'!F180="",'App Log'!F180=""),"",IF(TRIM('Actual Game'!F180&amp;"")=TRIM('App Log'!F180&amp;""),"MATCH","DIFF"))</f>
      </c>
      <c r="Q180" s="5">
        <f>IF('Actual Game'!I180="","",'Actual Game'!I180)</f>
      </c>
      <c r="R180" s="5">
        <f>IF('App Log'!I180="","",'App Log'!I180)</f>
      </c>
      <c r="S180" s="5">
        <f>IF(AND('Actual Game'!I180="",'App Log'!I180=""),"",IF(TRIM('Actual Game'!I180&amp;"")=TRIM('App Log'!I180&amp;""),"MATCH","DIFF"))</f>
      </c>
      <c r="T180" s="5">
        <f>IF('Actual Game'!H180="","",'Actual Game'!H180)</f>
      </c>
      <c r="U180" s="5">
        <f>IF('App Log'!H180="","",'App Log'!H180)</f>
      </c>
      <c r="V180" s="5">
        <f>IF(AND('Actual Game'!H180="",'App Log'!H180=""),"",IF(TRIM('Actual Game'!H180&amp;"")=TRIM('App Log'!H180&amp;""),"MATCH","DIFF"))</f>
      </c>
      <c r="W180" s="5">
        <f>IF('Actual Game'!J180="","",'Actual Game'!J180)</f>
      </c>
      <c r="X180" s="5">
        <f>IF('App Log'!J180="","",'App Log'!J180)</f>
      </c>
      <c r="Y180" s="5">
        <f>IF(AND('Actual Game'!J180="",'App Log'!J180=""),"",IF(TRIM('Actual Game'!J180&amp;"")=TRIM('App Log'!J180&amp;""),"MATCH","DIFF"))</f>
      </c>
      <c r="Z180" s="5">
        <f>IF('Actual Game'!K180="","",'Actual Game'!K180)</f>
      </c>
      <c r="AA180" s="5">
        <f>IF('App Log'!K180="","",'App Log'!K180)</f>
      </c>
      <c r="AB180" s="5">
        <f>IF(AND('Actual Game'!K180="",'App Log'!K180=""),"",IF(TRIM('Actual Game'!K180&amp;"")=TRIM('App Log'!K180&amp;""),"MATCH","DIFF"))</f>
      </c>
      <c r="AC180" s="5">
        <f>IF(AND('Actual Game'!A180="",'App Log'!A180=""),"",IF(COUNTIF(D180:AB180,"DIFF")=0,"MATCH","CHECK"))</f>
      </c>
    </row>
    <row r="181" ht="19" customHeight="1">
      <c r="A181" s="5"/>
      <c r="B181" s="5">
        <f>IF('Actual Game'!B181="","",'Actual Game'!B181)</f>
      </c>
      <c r="C181" s="5">
        <f>IF('App Log'!B181="","",'App Log'!B181)</f>
      </c>
      <c r="D181" s="5">
        <f>IF(AND('Actual Game'!B181="",'App Log'!B181=""),"",IF(TRIM('Actual Game'!B181&amp;"")=TRIM('App Log'!B181&amp;""),"MATCH","DIFF"))</f>
      </c>
      <c r="E181" s="5">
        <f>IF('Actual Game'!C181="","",'Actual Game'!C181)</f>
      </c>
      <c r="F181" s="5">
        <f>IF('App Log'!C181="","",'App Log'!C181)</f>
      </c>
      <c r="G181" s="5">
        <f>IF(AND('Actual Game'!C181="",'App Log'!C181=""),"",IF(TRIM('Actual Game'!C181&amp;"")=TRIM('App Log'!C181&amp;""),"MATCH","DIFF"))</f>
      </c>
      <c r="H181" s="5">
        <f>IF('Actual Game'!D181="","",'Actual Game'!D181)</f>
      </c>
      <c r="I181" s="5">
        <f>IF('App Log'!D181="","",'App Log'!D181)</f>
      </c>
      <c r="J181" s="5">
        <f>IF(AND('Actual Game'!D181="",'App Log'!D181=""),"",IF(TRIM('Actual Game'!D181&amp;"")=TRIM('App Log'!D181&amp;""),"MATCH","DIFF"))</f>
      </c>
      <c r="K181" s="5">
        <f>IF('Actual Game'!E181="","",'Actual Game'!E181)</f>
      </c>
      <c r="L181" s="5">
        <f>IF('App Log'!E181="","",'App Log'!E181)</f>
      </c>
      <c r="M181" s="5">
        <f>IF(AND('Actual Game'!E181="",'App Log'!E181=""),"",IF(TRIM('Actual Game'!E181&amp;"")=TRIM('App Log'!E181&amp;""),"MATCH","DIFF"))</f>
      </c>
      <c r="N181" s="5">
        <f>IF('Actual Game'!F181="","",'Actual Game'!F181)</f>
      </c>
      <c r="O181" s="5">
        <f>IF('App Log'!F181="","",'App Log'!F181)</f>
      </c>
      <c r="P181" s="5">
        <f>IF(AND('Actual Game'!F181="",'App Log'!F181=""),"",IF(TRIM('Actual Game'!F181&amp;"")=TRIM('App Log'!F181&amp;""),"MATCH","DIFF"))</f>
      </c>
      <c r="Q181" s="5">
        <f>IF('Actual Game'!I181="","",'Actual Game'!I181)</f>
      </c>
      <c r="R181" s="5">
        <f>IF('App Log'!I181="","",'App Log'!I181)</f>
      </c>
      <c r="S181" s="5">
        <f>IF(AND('Actual Game'!I181="",'App Log'!I181=""),"",IF(TRIM('Actual Game'!I181&amp;"")=TRIM('App Log'!I181&amp;""),"MATCH","DIFF"))</f>
      </c>
      <c r="T181" s="5">
        <f>IF('Actual Game'!H181="","",'Actual Game'!H181)</f>
      </c>
      <c r="U181" s="5">
        <f>IF('App Log'!H181="","",'App Log'!H181)</f>
      </c>
      <c r="V181" s="5">
        <f>IF(AND('Actual Game'!H181="",'App Log'!H181=""),"",IF(TRIM('Actual Game'!H181&amp;"")=TRIM('App Log'!H181&amp;""),"MATCH","DIFF"))</f>
      </c>
      <c r="W181" s="5">
        <f>IF('Actual Game'!J181="","",'Actual Game'!J181)</f>
      </c>
      <c r="X181" s="5">
        <f>IF('App Log'!J181="","",'App Log'!J181)</f>
      </c>
      <c r="Y181" s="5">
        <f>IF(AND('Actual Game'!J181="",'App Log'!J181=""),"",IF(TRIM('Actual Game'!J181&amp;"")=TRIM('App Log'!J181&amp;""),"MATCH","DIFF"))</f>
      </c>
      <c r="Z181" s="5">
        <f>IF('Actual Game'!K181="","",'Actual Game'!K181)</f>
      </c>
      <c r="AA181" s="5">
        <f>IF('App Log'!K181="","",'App Log'!K181)</f>
      </c>
      <c r="AB181" s="5">
        <f>IF(AND('Actual Game'!K181="",'App Log'!K181=""),"",IF(TRIM('Actual Game'!K181&amp;"")=TRIM('App Log'!K181&amp;""),"MATCH","DIFF"))</f>
      </c>
      <c r="AC181" s="5">
        <f>IF(AND('Actual Game'!A181="",'App Log'!A181=""),"",IF(COUNTIF(D181:AB181,"DIFF")=0,"MATCH","CHECK"))</f>
      </c>
    </row>
    <row r="182" ht="19" customHeight="1">
      <c r="A182" s="5"/>
      <c r="B182" s="5">
        <f>IF('Actual Game'!B182="","",'Actual Game'!B182)</f>
      </c>
      <c r="C182" s="5">
        <f>IF('App Log'!B182="","",'App Log'!B182)</f>
      </c>
      <c r="D182" s="5">
        <f>IF(AND('Actual Game'!B182="",'App Log'!B182=""),"",IF(TRIM('Actual Game'!B182&amp;"")=TRIM('App Log'!B182&amp;""),"MATCH","DIFF"))</f>
      </c>
      <c r="E182" s="5">
        <f>IF('Actual Game'!C182="","",'Actual Game'!C182)</f>
      </c>
      <c r="F182" s="5">
        <f>IF('App Log'!C182="","",'App Log'!C182)</f>
      </c>
      <c r="G182" s="5">
        <f>IF(AND('Actual Game'!C182="",'App Log'!C182=""),"",IF(TRIM('Actual Game'!C182&amp;"")=TRIM('App Log'!C182&amp;""),"MATCH","DIFF"))</f>
      </c>
      <c r="H182" s="5">
        <f>IF('Actual Game'!D182="","",'Actual Game'!D182)</f>
      </c>
      <c r="I182" s="5">
        <f>IF('App Log'!D182="","",'App Log'!D182)</f>
      </c>
      <c r="J182" s="5">
        <f>IF(AND('Actual Game'!D182="",'App Log'!D182=""),"",IF(TRIM('Actual Game'!D182&amp;"")=TRIM('App Log'!D182&amp;""),"MATCH","DIFF"))</f>
      </c>
      <c r="K182" s="5">
        <f>IF('Actual Game'!E182="","",'Actual Game'!E182)</f>
      </c>
      <c r="L182" s="5">
        <f>IF('App Log'!E182="","",'App Log'!E182)</f>
      </c>
      <c r="M182" s="5">
        <f>IF(AND('Actual Game'!E182="",'App Log'!E182=""),"",IF(TRIM('Actual Game'!E182&amp;"")=TRIM('App Log'!E182&amp;""),"MATCH","DIFF"))</f>
      </c>
      <c r="N182" s="5">
        <f>IF('Actual Game'!F182="","",'Actual Game'!F182)</f>
      </c>
      <c r="O182" s="5">
        <f>IF('App Log'!F182="","",'App Log'!F182)</f>
      </c>
      <c r="P182" s="5">
        <f>IF(AND('Actual Game'!F182="",'App Log'!F182=""),"",IF(TRIM('Actual Game'!F182&amp;"")=TRIM('App Log'!F182&amp;""),"MATCH","DIFF"))</f>
      </c>
      <c r="Q182" s="5">
        <f>IF('Actual Game'!I182="","",'Actual Game'!I182)</f>
      </c>
      <c r="R182" s="5">
        <f>IF('App Log'!I182="","",'App Log'!I182)</f>
      </c>
      <c r="S182" s="5">
        <f>IF(AND('Actual Game'!I182="",'App Log'!I182=""),"",IF(TRIM('Actual Game'!I182&amp;"")=TRIM('App Log'!I182&amp;""),"MATCH","DIFF"))</f>
      </c>
      <c r="T182" s="5">
        <f>IF('Actual Game'!H182="","",'Actual Game'!H182)</f>
      </c>
      <c r="U182" s="5">
        <f>IF('App Log'!H182="","",'App Log'!H182)</f>
      </c>
      <c r="V182" s="5">
        <f>IF(AND('Actual Game'!H182="",'App Log'!H182=""),"",IF(TRIM('Actual Game'!H182&amp;"")=TRIM('App Log'!H182&amp;""),"MATCH","DIFF"))</f>
      </c>
      <c r="W182" s="5">
        <f>IF('Actual Game'!J182="","",'Actual Game'!J182)</f>
      </c>
      <c r="X182" s="5">
        <f>IF('App Log'!J182="","",'App Log'!J182)</f>
      </c>
      <c r="Y182" s="5">
        <f>IF(AND('Actual Game'!J182="",'App Log'!J182=""),"",IF(TRIM('Actual Game'!J182&amp;"")=TRIM('App Log'!J182&amp;""),"MATCH","DIFF"))</f>
      </c>
      <c r="Z182" s="5">
        <f>IF('Actual Game'!K182="","",'Actual Game'!K182)</f>
      </c>
      <c r="AA182" s="5">
        <f>IF('App Log'!K182="","",'App Log'!K182)</f>
      </c>
      <c r="AB182" s="5">
        <f>IF(AND('Actual Game'!K182="",'App Log'!K182=""),"",IF(TRIM('Actual Game'!K182&amp;"")=TRIM('App Log'!K182&amp;""),"MATCH","DIFF"))</f>
      </c>
      <c r="AC182" s="5">
        <f>IF(AND('Actual Game'!A182="",'App Log'!A182=""),"",IF(COUNTIF(D182:AB182,"DIFF")=0,"MATCH","CHECK"))</f>
      </c>
    </row>
    <row r="183" ht="19" customHeight="1">
      <c r="A183" s="5"/>
      <c r="B183" s="5">
        <f>IF('Actual Game'!B183="","",'Actual Game'!B183)</f>
      </c>
      <c r="C183" s="5">
        <f>IF('App Log'!B183="","",'App Log'!B183)</f>
      </c>
      <c r="D183" s="5">
        <f>IF(AND('Actual Game'!B183="",'App Log'!B183=""),"",IF(TRIM('Actual Game'!B183&amp;"")=TRIM('App Log'!B183&amp;""),"MATCH","DIFF"))</f>
      </c>
      <c r="E183" s="5">
        <f>IF('Actual Game'!C183="","",'Actual Game'!C183)</f>
      </c>
      <c r="F183" s="5">
        <f>IF('App Log'!C183="","",'App Log'!C183)</f>
      </c>
      <c r="G183" s="5">
        <f>IF(AND('Actual Game'!C183="",'App Log'!C183=""),"",IF(TRIM('Actual Game'!C183&amp;"")=TRIM('App Log'!C183&amp;""),"MATCH","DIFF"))</f>
      </c>
      <c r="H183" s="5">
        <f>IF('Actual Game'!D183="","",'Actual Game'!D183)</f>
      </c>
      <c r="I183" s="5">
        <f>IF('App Log'!D183="","",'App Log'!D183)</f>
      </c>
      <c r="J183" s="5">
        <f>IF(AND('Actual Game'!D183="",'App Log'!D183=""),"",IF(TRIM('Actual Game'!D183&amp;"")=TRIM('App Log'!D183&amp;""),"MATCH","DIFF"))</f>
      </c>
      <c r="K183" s="5">
        <f>IF('Actual Game'!E183="","",'Actual Game'!E183)</f>
      </c>
      <c r="L183" s="5">
        <f>IF('App Log'!E183="","",'App Log'!E183)</f>
      </c>
      <c r="M183" s="5">
        <f>IF(AND('Actual Game'!E183="",'App Log'!E183=""),"",IF(TRIM('Actual Game'!E183&amp;"")=TRIM('App Log'!E183&amp;""),"MATCH","DIFF"))</f>
      </c>
      <c r="N183" s="5">
        <f>IF('Actual Game'!F183="","",'Actual Game'!F183)</f>
      </c>
      <c r="O183" s="5">
        <f>IF('App Log'!F183="","",'App Log'!F183)</f>
      </c>
      <c r="P183" s="5">
        <f>IF(AND('Actual Game'!F183="",'App Log'!F183=""),"",IF(TRIM('Actual Game'!F183&amp;"")=TRIM('App Log'!F183&amp;""),"MATCH","DIFF"))</f>
      </c>
      <c r="Q183" s="5">
        <f>IF('Actual Game'!I183="","",'Actual Game'!I183)</f>
      </c>
      <c r="R183" s="5">
        <f>IF('App Log'!I183="","",'App Log'!I183)</f>
      </c>
      <c r="S183" s="5">
        <f>IF(AND('Actual Game'!I183="",'App Log'!I183=""),"",IF(TRIM('Actual Game'!I183&amp;"")=TRIM('App Log'!I183&amp;""),"MATCH","DIFF"))</f>
      </c>
      <c r="T183" s="5">
        <f>IF('Actual Game'!H183="","",'Actual Game'!H183)</f>
      </c>
      <c r="U183" s="5">
        <f>IF('App Log'!H183="","",'App Log'!H183)</f>
      </c>
      <c r="V183" s="5">
        <f>IF(AND('Actual Game'!H183="",'App Log'!H183=""),"",IF(TRIM('Actual Game'!H183&amp;"")=TRIM('App Log'!H183&amp;""),"MATCH","DIFF"))</f>
      </c>
      <c r="W183" s="5">
        <f>IF('Actual Game'!J183="","",'Actual Game'!J183)</f>
      </c>
      <c r="X183" s="5">
        <f>IF('App Log'!J183="","",'App Log'!J183)</f>
      </c>
      <c r="Y183" s="5">
        <f>IF(AND('Actual Game'!J183="",'App Log'!J183=""),"",IF(TRIM('Actual Game'!J183&amp;"")=TRIM('App Log'!J183&amp;""),"MATCH","DIFF"))</f>
      </c>
      <c r="Z183" s="5">
        <f>IF('Actual Game'!K183="","",'Actual Game'!K183)</f>
      </c>
      <c r="AA183" s="5">
        <f>IF('App Log'!K183="","",'App Log'!K183)</f>
      </c>
      <c r="AB183" s="5">
        <f>IF(AND('Actual Game'!K183="",'App Log'!K183=""),"",IF(TRIM('Actual Game'!K183&amp;"")=TRIM('App Log'!K183&amp;""),"MATCH","DIFF"))</f>
      </c>
      <c r="AC183" s="5">
        <f>IF(AND('Actual Game'!A183="",'App Log'!A183=""),"",IF(COUNTIF(D183:AB183,"DIFF")=0,"MATCH","CHECK"))</f>
      </c>
    </row>
    <row r="184" ht="19" customHeight="1">
      <c r="A184" s="5"/>
      <c r="B184" s="5">
        <f>IF('Actual Game'!B184="","",'Actual Game'!B184)</f>
      </c>
      <c r="C184" s="5">
        <f>IF('App Log'!B184="","",'App Log'!B184)</f>
      </c>
      <c r="D184" s="5">
        <f>IF(AND('Actual Game'!B184="",'App Log'!B184=""),"",IF(TRIM('Actual Game'!B184&amp;"")=TRIM('App Log'!B184&amp;""),"MATCH","DIFF"))</f>
      </c>
      <c r="E184" s="5">
        <f>IF('Actual Game'!C184="","",'Actual Game'!C184)</f>
      </c>
      <c r="F184" s="5">
        <f>IF('App Log'!C184="","",'App Log'!C184)</f>
      </c>
      <c r="G184" s="5">
        <f>IF(AND('Actual Game'!C184="",'App Log'!C184=""),"",IF(TRIM('Actual Game'!C184&amp;"")=TRIM('App Log'!C184&amp;""),"MATCH","DIFF"))</f>
      </c>
      <c r="H184" s="5">
        <f>IF('Actual Game'!D184="","",'Actual Game'!D184)</f>
      </c>
      <c r="I184" s="5">
        <f>IF('App Log'!D184="","",'App Log'!D184)</f>
      </c>
      <c r="J184" s="5">
        <f>IF(AND('Actual Game'!D184="",'App Log'!D184=""),"",IF(TRIM('Actual Game'!D184&amp;"")=TRIM('App Log'!D184&amp;""),"MATCH","DIFF"))</f>
      </c>
      <c r="K184" s="5">
        <f>IF('Actual Game'!E184="","",'Actual Game'!E184)</f>
      </c>
      <c r="L184" s="5">
        <f>IF('App Log'!E184="","",'App Log'!E184)</f>
      </c>
      <c r="M184" s="5">
        <f>IF(AND('Actual Game'!E184="",'App Log'!E184=""),"",IF(TRIM('Actual Game'!E184&amp;"")=TRIM('App Log'!E184&amp;""),"MATCH","DIFF"))</f>
      </c>
      <c r="N184" s="5">
        <f>IF('Actual Game'!F184="","",'Actual Game'!F184)</f>
      </c>
      <c r="O184" s="5">
        <f>IF('App Log'!F184="","",'App Log'!F184)</f>
      </c>
      <c r="P184" s="5">
        <f>IF(AND('Actual Game'!F184="",'App Log'!F184=""),"",IF(TRIM('Actual Game'!F184&amp;"")=TRIM('App Log'!F184&amp;""),"MATCH","DIFF"))</f>
      </c>
      <c r="Q184" s="5">
        <f>IF('Actual Game'!I184="","",'Actual Game'!I184)</f>
      </c>
      <c r="R184" s="5">
        <f>IF('App Log'!I184="","",'App Log'!I184)</f>
      </c>
      <c r="S184" s="5">
        <f>IF(AND('Actual Game'!I184="",'App Log'!I184=""),"",IF(TRIM('Actual Game'!I184&amp;"")=TRIM('App Log'!I184&amp;""),"MATCH","DIFF"))</f>
      </c>
      <c r="T184" s="5">
        <f>IF('Actual Game'!H184="","",'Actual Game'!H184)</f>
      </c>
      <c r="U184" s="5">
        <f>IF('App Log'!H184="","",'App Log'!H184)</f>
      </c>
      <c r="V184" s="5">
        <f>IF(AND('Actual Game'!H184="",'App Log'!H184=""),"",IF(TRIM('Actual Game'!H184&amp;"")=TRIM('App Log'!H184&amp;""),"MATCH","DIFF"))</f>
      </c>
      <c r="W184" s="5">
        <f>IF('Actual Game'!J184="","",'Actual Game'!J184)</f>
      </c>
      <c r="X184" s="5">
        <f>IF('App Log'!J184="","",'App Log'!J184)</f>
      </c>
      <c r="Y184" s="5">
        <f>IF(AND('Actual Game'!J184="",'App Log'!J184=""),"",IF(TRIM('Actual Game'!J184&amp;"")=TRIM('App Log'!J184&amp;""),"MATCH","DIFF"))</f>
      </c>
      <c r="Z184" s="5">
        <f>IF('Actual Game'!K184="","",'Actual Game'!K184)</f>
      </c>
      <c r="AA184" s="5">
        <f>IF('App Log'!K184="","",'App Log'!K184)</f>
      </c>
      <c r="AB184" s="5">
        <f>IF(AND('Actual Game'!K184="",'App Log'!K184=""),"",IF(TRIM('Actual Game'!K184&amp;"")=TRIM('App Log'!K184&amp;""),"MATCH","DIFF"))</f>
      </c>
      <c r="AC184" s="5">
        <f>IF(AND('Actual Game'!A184="",'App Log'!A184=""),"",IF(COUNTIF(D184:AB184,"DIFF")=0,"MATCH","CHECK"))</f>
      </c>
    </row>
    <row r="185" ht="19" customHeight="1">
      <c r="A185" s="5"/>
      <c r="B185" s="5">
        <f>IF('Actual Game'!B185="","",'Actual Game'!B185)</f>
      </c>
      <c r="C185" s="5">
        <f>IF('App Log'!B185="","",'App Log'!B185)</f>
      </c>
      <c r="D185" s="5">
        <f>IF(AND('Actual Game'!B185="",'App Log'!B185=""),"",IF(TRIM('Actual Game'!B185&amp;"")=TRIM('App Log'!B185&amp;""),"MATCH","DIFF"))</f>
      </c>
      <c r="E185" s="5">
        <f>IF('Actual Game'!C185="","",'Actual Game'!C185)</f>
      </c>
      <c r="F185" s="5">
        <f>IF('App Log'!C185="","",'App Log'!C185)</f>
      </c>
      <c r="G185" s="5">
        <f>IF(AND('Actual Game'!C185="",'App Log'!C185=""),"",IF(TRIM('Actual Game'!C185&amp;"")=TRIM('App Log'!C185&amp;""),"MATCH","DIFF"))</f>
      </c>
      <c r="H185" s="5">
        <f>IF('Actual Game'!D185="","",'Actual Game'!D185)</f>
      </c>
      <c r="I185" s="5">
        <f>IF('App Log'!D185="","",'App Log'!D185)</f>
      </c>
      <c r="J185" s="5">
        <f>IF(AND('Actual Game'!D185="",'App Log'!D185=""),"",IF(TRIM('Actual Game'!D185&amp;"")=TRIM('App Log'!D185&amp;""),"MATCH","DIFF"))</f>
      </c>
      <c r="K185" s="5">
        <f>IF('Actual Game'!E185="","",'Actual Game'!E185)</f>
      </c>
      <c r="L185" s="5">
        <f>IF('App Log'!E185="","",'App Log'!E185)</f>
      </c>
      <c r="M185" s="5">
        <f>IF(AND('Actual Game'!E185="",'App Log'!E185=""),"",IF(TRIM('Actual Game'!E185&amp;"")=TRIM('App Log'!E185&amp;""),"MATCH","DIFF"))</f>
      </c>
      <c r="N185" s="5">
        <f>IF('Actual Game'!F185="","",'Actual Game'!F185)</f>
      </c>
      <c r="O185" s="5">
        <f>IF('App Log'!F185="","",'App Log'!F185)</f>
      </c>
      <c r="P185" s="5">
        <f>IF(AND('Actual Game'!F185="",'App Log'!F185=""),"",IF(TRIM('Actual Game'!F185&amp;"")=TRIM('App Log'!F185&amp;""),"MATCH","DIFF"))</f>
      </c>
      <c r="Q185" s="5">
        <f>IF('Actual Game'!I185="","",'Actual Game'!I185)</f>
      </c>
      <c r="R185" s="5">
        <f>IF('App Log'!I185="","",'App Log'!I185)</f>
      </c>
      <c r="S185" s="5">
        <f>IF(AND('Actual Game'!I185="",'App Log'!I185=""),"",IF(TRIM('Actual Game'!I185&amp;"")=TRIM('App Log'!I185&amp;""),"MATCH","DIFF"))</f>
      </c>
      <c r="T185" s="5">
        <f>IF('Actual Game'!H185="","",'Actual Game'!H185)</f>
      </c>
      <c r="U185" s="5">
        <f>IF('App Log'!H185="","",'App Log'!H185)</f>
      </c>
      <c r="V185" s="5">
        <f>IF(AND('Actual Game'!H185="",'App Log'!H185=""),"",IF(TRIM('Actual Game'!H185&amp;"")=TRIM('App Log'!H185&amp;""),"MATCH","DIFF"))</f>
      </c>
      <c r="W185" s="5">
        <f>IF('Actual Game'!J185="","",'Actual Game'!J185)</f>
      </c>
      <c r="X185" s="5">
        <f>IF('App Log'!J185="","",'App Log'!J185)</f>
      </c>
      <c r="Y185" s="5">
        <f>IF(AND('Actual Game'!J185="",'App Log'!J185=""),"",IF(TRIM('Actual Game'!J185&amp;"")=TRIM('App Log'!J185&amp;""),"MATCH","DIFF"))</f>
      </c>
      <c r="Z185" s="5">
        <f>IF('Actual Game'!K185="","",'Actual Game'!K185)</f>
      </c>
      <c r="AA185" s="5">
        <f>IF('App Log'!K185="","",'App Log'!K185)</f>
      </c>
      <c r="AB185" s="5">
        <f>IF(AND('Actual Game'!K185="",'App Log'!K185=""),"",IF(TRIM('Actual Game'!K185&amp;"")=TRIM('App Log'!K185&amp;""),"MATCH","DIFF"))</f>
      </c>
      <c r="AC185" s="5">
        <f>IF(AND('Actual Game'!A185="",'App Log'!A185=""),"",IF(COUNTIF(D185:AB185,"DIFF")=0,"MATCH","CHECK"))</f>
      </c>
    </row>
    <row r="186" ht="19" customHeight="1">
      <c r="A186" s="5"/>
      <c r="B186" s="5">
        <f>IF('Actual Game'!B186="","",'Actual Game'!B186)</f>
      </c>
      <c r="C186" s="5">
        <f>IF('App Log'!B186="","",'App Log'!B186)</f>
      </c>
      <c r="D186" s="5">
        <f>IF(AND('Actual Game'!B186="",'App Log'!B186=""),"",IF(TRIM('Actual Game'!B186&amp;"")=TRIM('App Log'!B186&amp;""),"MATCH","DIFF"))</f>
      </c>
      <c r="E186" s="5">
        <f>IF('Actual Game'!C186="","",'Actual Game'!C186)</f>
      </c>
      <c r="F186" s="5">
        <f>IF('App Log'!C186="","",'App Log'!C186)</f>
      </c>
      <c r="G186" s="5">
        <f>IF(AND('Actual Game'!C186="",'App Log'!C186=""),"",IF(TRIM('Actual Game'!C186&amp;"")=TRIM('App Log'!C186&amp;""),"MATCH","DIFF"))</f>
      </c>
      <c r="H186" s="5">
        <f>IF('Actual Game'!D186="","",'Actual Game'!D186)</f>
      </c>
      <c r="I186" s="5">
        <f>IF('App Log'!D186="","",'App Log'!D186)</f>
      </c>
      <c r="J186" s="5">
        <f>IF(AND('Actual Game'!D186="",'App Log'!D186=""),"",IF(TRIM('Actual Game'!D186&amp;"")=TRIM('App Log'!D186&amp;""),"MATCH","DIFF"))</f>
      </c>
      <c r="K186" s="5">
        <f>IF('Actual Game'!E186="","",'Actual Game'!E186)</f>
      </c>
      <c r="L186" s="5">
        <f>IF('App Log'!E186="","",'App Log'!E186)</f>
      </c>
      <c r="M186" s="5">
        <f>IF(AND('Actual Game'!E186="",'App Log'!E186=""),"",IF(TRIM('Actual Game'!E186&amp;"")=TRIM('App Log'!E186&amp;""),"MATCH","DIFF"))</f>
      </c>
      <c r="N186" s="5">
        <f>IF('Actual Game'!F186="","",'Actual Game'!F186)</f>
      </c>
      <c r="O186" s="5">
        <f>IF('App Log'!F186="","",'App Log'!F186)</f>
      </c>
      <c r="P186" s="5">
        <f>IF(AND('Actual Game'!F186="",'App Log'!F186=""),"",IF(TRIM('Actual Game'!F186&amp;"")=TRIM('App Log'!F186&amp;""),"MATCH","DIFF"))</f>
      </c>
      <c r="Q186" s="5">
        <f>IF('Actual Game'!I186="","",'Actual Game'!I186)</f>
      </c>
      <c r="R186" s="5">
        <f>IF('App Log'!I186="","",'App Log'!I186)</f>
      </c>
      <c r="S186" s="5">
        <f>IF(AND('Actual Game'!I186="",'App Log'!I186=""),"",IF(TRIM('Actual Game'!I186&amp;"")=TRIM('App Log'!I186&amp;""),"MATCH","DIFF"))</f>
      </c>
      <c r="T186" s="5">
        <f>IF('Actual Game'!H186="","",'Actual Game'!H186)</f>
      </c>
      <c r="U186" s="5">
        <f>IF('App Log'!H186="","",'App Log'!H186)</f>
      </c>
      <c r="V186" s="5">
        <f>IF(AND('Actual Game'!H186="",'App Log'!H186=""),"",IF(TRIM('Actual Game'!H186&amp;"")=TRIM('App Log'!H186&amp;""),"MATCH","DIFF"))</f>
      </c>
      <c r="W186" s="5">
        <f>IF('Actual Game'!J186="","",'Actual Game'!J186)</f>
      </c>
      <c r="X186" s="5">
        <f>IF('App Log'!J186="","",'App Log'!J186)</f>
      </c>
      <c r="Y186" s="5">
        <f>IF(AND('Actual Game'!J186="",'App Log'!J186=""),"",IF(TRIM('Actual Game'!J186&amp;"")=TRIM('App Log'!J186&amp;""),"MATCH","DIFF"))</f>
      </c>
      <c r="Z186" s="5">
        <f>IF('Actual Game'!K186="","",'Actual Game'!K186)</f>
      </c>
      <c r="AA186" s="5">
        <f>IF('App Log'!K186="","",'App Log'!K186)</f>
      </c>
      <c r="AB186" s="5">
        <f>IF(AND('Actual Game'!K186="",'App Log'!K186=""),"",IF(TRIM('Actual Game'!K186&amp;"")=TRIM('App Log'!K186&amp;""),"MATCH","DIFF"))</f>
      </c>
      <c r="AC186" s="5">
        <f>IF(AND('Actual Game'!A186="",'App Log'!A186=""),"",IF(COUNTIF(D186:AB186,"DIFF")=0,"MATCH","CHECK"))</f>
      </c>
    </row>
    <row r="187" ht="19" customHeight="1">
      <c r="A187" s="5"/>
      <c r="B187" s="5">
        <f>IF('Actual Game'!B187="","",'Actual Game'!B187)</f>
      </c>
      <c r="C187" s="5">
        <f>IF('App Log'!B187="","",'App Log'!B187)</f>
      </c>
      <c r="D187" s="5">
        <f>IF(AND('Actual Game'!B187="",'App Log'!B187=""),"",IF(TRIM('Actual Game'!B187&amp;"")=TRIM('App Log'!B187&amp;""),"MATCH","DIFF"))</f>
      </c>
      <c r="E187" s="5">
        <f>IF('Actual Game'!C187="","",'Actual Game'!C187)</f>
      </c>
      <c r="F187" s="5">
        <f>IF('App Log'!C187="","",'App Log'!C187)</f>
      </c>
      <c r="G187" s="5">
        <f>IF(AND('Actual Game'!C187="",'App Log'!C187=""),"",IF(TRIM('Actual Game'!C187&amp;"")=TRIM('App Log'!C187&amp;""),"MATCH","DIFF"))</f>
      </c>
      <c r="H187" s="5">
        <f>IF('Actual Game'!D187="","",'Actual Game'!D187)</f>
      </c>
      <c r="I187" s="5">
        <f>IF('App Log'!D187="","",'App Log'!D187)</f>
      </c>
      <c r="J187" s="5">
        <f>IF(AND('Actual Game'!D187="",'App Log'!D187=""),"",IF(TRIM('Actual Game'!D187&amp;"")=TRIM('App Log'!D187&amp;""),"MATCH","DIFF"))</f>
      </c>
      <c r="K187" s="5">
        <f>IF('Actual Game'!E187="","",'Actual Game'!E187)</f>
      </c>
      <c r="L187" s="5">
        <f>IF('App Log'!E187="","",'App Log'!E187)</f>
      </c>
      <c r="M187" s="5">
        <f>IF(AND('Actual Game'!E187="",'App Log'!E187=""),"",IF(TRIM('Actual Game'!E187&amp;"")=TRIM('App Log'!E187&amp;""),"MATCH","DIFF"))</f>
      </c>
      <c r="N187" s="5">
        <f>IF('Actual Game'!F187="","",'Actual Game'!F187)</f>
      </c>
      <c r="O187" s="5">
        <f>IF('App Log'!F187="","",'App Log'!F187)</f>
      </c>
      <c r="P187" s="5">
        <f>IF(AND('Actual Game'!F187="",'App Log'!F187=""),"",IF(TRIM('Actual Game'!F187&amp;"")=TRIM('App Log'!F187&amp;""),"MATCH","DIFF"))</f>
      </c>
      <c r="Q187" s="5">
        <f>IF('Actual Game'!I187="","",'Actual Game'!I187)</f>
      </c>
      <c r="R187" s="5">
        <f>IF('App Log'!I187="","",'App Log'!I187)</f>
      </c>
      <c r="S187" s="5">
        <f>IF(AND('Actual Game'!I187="",'App Log'!I187=""),"",IF(TRIM('Actual Game'!I187&amp;"")=TRIM('App Log'!I187&amp;""),"MATCH","DIFF"))</f>
      </c>
      <c r="T187" s="5">
        <f>IF('Actual Game'!H187="","",'Actual Game'!H187)</f>
      </c>
      <c r="U187" s="5">
        <f>IF('App Log'!H187="","",'App Log'!H187)</f>
      </c>
      <c r="V187" s="5">
        <f>IF(AND('Actual Game'!H187="",'App Log'!H187=""),"",IF(TRIM('Actual Game'!H187&amp;"")=TRIM('App Log'!H187&amp;""),"MATCH","DIFF"))</f>
      </c>
      <c r="W187" s="5">
        <f>IF('Actual Game'!J187="","",'Actual Game'!J187)</f>
      </c>
      <c r="X187" s="5">
        <f>IF('App Log'!J187="","",'App Log'!J187)</f>
      </c>
      <c r="Y187" s="5">
        <f>IF(AND('Actual Game'!J187="",'App Log'!J187=""),"",IF(TRIM('Actual Game'!J187&amp;"")=TRIM('App Log'!J187&amp;""),"MATCH","DIFF"))</f>
      </c>
      <c r="Z187" s="5">
        <f>IF('Actual Game'!K187="","",'Actual Game'!K187)</f>
      </c>
      <c r="AA187" s="5">
        <f>IF('App Log'!K187="","",'App Log'!K187)</f>
      </c>
      <c r="AB187" s="5">
        <f>IF(AND('Actual Game'!K187="",'App Log'!K187=""),"",IF(TRIM('Actual Game'!K187&amp;"")=TRIM('App Log'!K187&amp;""),"MATCH","DIFF"))</f>
      </c>
      <c r="AC187" s="5">
        <f>IF(AND('Actual Game'!A187="",'App Log'!A187=""),"",IF(COUNTIF(D187:AB187,"DIFF")=0,"MATCH","CHECK"))</f>
      </c>
    </row>
    <row r="188" ht="19" customHeight="1">
      <c r="A188" s="5"/>
      <c r="B188" s="5">
        <f>IF('Actual Game'!B188="","",'Actual Game'!B188)</f>
      </c>
      <c r="C188" s="5">
        <f>IF('App Log'!B188="","",'App Log'!B188)</f>
      </c>
      <c r="D188" s="5">
        <f>IF(AND('Actual Game'!B188="",'App Log'!B188=""),"",IF(TRIM('Actual Game'!B188&amp;"")=TRIM('App Log'!B188&amp;""),"MATCH","DIFF"))</f>
      </c>
      <c r="E188" s="5">
        <f>IF('Actual Game'!C188="","",'Actual Game'!C188)</f>
      </c>
      <c r="F188" s="5">
        <f>IF('App Log'!C188="","",'App Log'!C188)</f>
      </c>
      <c r="G188" s="5">
        <f>IF(AND('Actual Game'!C188="",'App Log'!C188=""),"",IF(TRIM('Actual Game'!C188&amp;"")=TRIM('App Log'!C188&amp;""),"MATCH","DIFF"))</f>
      </c>
      <c r="H188" s="5">
        <f>IF('Actual Game'!D188="","",'Actual Game'!D188)</f>
      </c>
      <c r="I188" s="5">
        <f>IF('App Log'!D188="","",'App Log'!D188)</f>
      </c>
      <c r="J188" s="5">
        <f>IF(AND('Actual Game'!D188="",'App Log'!D188=""),"",IF(TRIM('Actual Game'!D188&amp;"")=TRIM('App Log'!D188&amp;""),"MATCH","DIFF"))</f>
      </c>
      <c r="K188" s="5">
        <f>IF('Actual Game'!E188="","",'Actual Game'!E188)</f>
      </c>
      <c r="L188" s="5">
        <f>IF('App Log'!E188="","",'App Log'!E188)</f>
      </c>
      <c r="M188" s="5">
        <f>IF(AND('Actual Game'!E188="",'App Log'!E188=""),"",IF(TRIM('Actual Game'!E188&amp;"")=TRIM('App Log'!E188&amp;""),"MATCH","DIFF"))</f>
      </c>
      <c r="N188" s="5">
        <f>IF('Actual Game'!F188="","",'Actual Game'!F188)</f>
      </c>
      <c r="O188" s="5">
        <f>IF('App Log'!F188="","",'App Log'!F188)</f>
      </c>
      <c r="P188" s="5">
        <f>IF(AND('Actual Game'!F188="",'App Log'!F188=""),"",IF(TRIM('Actual Game'!F188&amp;"")=TRIM('App Log'!F188&amp;""),"MATCH","DIFF"))</f>
      </c>
      <c r="Q188" s="5">
        <f>IF('Actual Game'!I188="","",'Actual Game'!I188)</f>
      </c>
      <c r="R188" s="5">
        <f>IF('App Log'!I188="","",'App Log'!I188)</f>
      </c>
      <c r="S188" s="5">
        <f>IF(AND('Actual Game'!I188="",'App Log'!I188=""),"",IF(TRIM('Actual Game'!I188&amp;"")=TRIM('App Log'!I188&amp;""),"MATCH","DIFF"))</f>
      </c>
      <c r="T188" s="5">
        <f>IF('Actual Game'!H188="","",'Actual Game'!H188)</f>
      </c>
      <c r="U188" s="5">
        <f>IF('App Log'!H188="","",'App Log'!H188)</f>
      </c>
      <c r="V188" s="5">
        <f>IF(AND('Actual Game'!H188="",'App Log'!H188=""),"",IF(TRIM('Actual Game'!H188&amp;"")=TRIM('App Log'!H188&amp;""),"MATCH","DIFF"))</f>
      </c>
      <c r="W188" s="5">
        <f>IF('Actual Game'!J188="","",'Actual Game'!J188)</f>
      </c>
      <c r="X188" s="5">
        <f>IF('App Log'!J188="","",'App Log'!J188)</f>
      </c>
      <c r="Y188" s="5">
        <f>IF(AND('Actual Game'!J188="",'App Log'!J188=""),"",IF(TRIM('Actual Game'!J188&amp;"")=TRIM('App Log'!J188&amp;""),"MATCH","DIFF"))</f>
      </c>
      <c r="Z188" s="5">
        <f>IF('Actual Game'!K188="","",'Actual Game'!K188)</f>
      </c>
      <c r="AA188" s="5">
        <f>IF('App Log'!K188="","",'App Log'!K188)</f>
      </c>
      <c r="AB188" s="5">
        <f>IF(AND('Actual Game'!K188="",'App Log'!K188=""),"",IF(TRIM('Actual Game'!K188&amp;"")=TRIM('App Log'!K188&amp;""),"MATCH","DIFF"))</f>
      </c>
      <c r="AC188" s="5">
        <f>IF(AND('Actual Game'!A188="",'App Log'!A188=""),"",IF(COUNTIF(D188:AB188,"DIFF")=0,"MATCH","CHECK"))</f>
      </c>
    </row>
    <row r="189" ht="19" customHeight="1">
      <c r="A189" s="5"/>
      <c r="B189" s="5">
        <f>IF('Actual Game'!B189="","",'Actual Game'!B189)</f>
      </c>
      <c r="C189" s="5">
        <f>IF('App Log'!B189="","",'App Log'!B189)</f>
      </c>
      <c r="D189" s="5">
        <f>IF(AND('Actual Game'!B189="",'App Log'!B189=""),"",IF(TRIM('Actual Game'!B189&amp;"")=TRIM('App Log'!B189&amp;""),"MATCH","DIFF"))</f>
      </c>
      <c r="E189" s="5">
        <f>IF('Actual Game'!C189="","",'Actual Game'!C189)</f>
      </c>
      <c r="F189" s="5">
        <f>IF('App Log'!C189="","",'App Log'!C189)</f>
      </c>
      <c r="G189" s="5">
        <f>IF(AND('Actual Game'!C189="",'App Log'!C189=""),"",IF(TRIM('Actual Game'!C189&amp;"")=TRIM('App Log'!C189&amp;""),"MATCH","DIFF"))</f>
      </c>
      <c r="H189" s="5">
        <f>IF('Actual Game'!D189="","",'Actual Game'!D189)</f>
      </c>
      <c r="I189" s="5">
        <f>IF('App Log'!D189="","",'App Log'!D189)</f>
      </c>
      <c r="J189" s="5">
        <f>IF(AND('Actual Game'!D189="",'App Log'!D189=""),"",IF(TRIM('Actual Game'!D189&amp;"")=TRIM('App Log'!D189&amp;""),"MATCH","DIFF"))</f>
      </c>
      <c r="K189" s="5">
        <f>IF('Actual Game'!E189="","",'Actual Game'!E189)</f>
      </c>
      <c r="L189" s="5">
        <f>IF('App Log'!E189="","",'App Log'!E189)</f>
      </c>
      <c r="M189" s="5">
        <f>IF(AND('Actual Game'!E189="",'App Log'!E189=""),"",IF(TRIM('Actual Game'!E189&amp;"")=TRIM('App Log'!E189&amp;""),"MATCH","DIFF"))</f>
      </c>
      <c r="N189" s="5">
        <f>IF('Actual Game'!F189="","",'Actual Game'!F189)</f>
      </c>
      <c r="O189" s="5">
        <f>IF('App Log'!F189="","",'App Log'!F189)</f>
      </c>
      <c r="P189" s="5">
        <f>IF(AND('Actual Game'!F189="",'App Log'!F189=""),"",IF(TRIM('Actual Game'!F189&amp;"")=TRIM('App Log'!F189&amp;""),"MATCH","DIFF"))</f>
      </c>
      <c r="Q189" s="5">
        <f>IF('Actual Game'!I189="","",'Actual Game'!I189)</f>
      </c>
      <c r="R189" s="5">
        <f>IF('App Log'!I189="","",'App Log'!I189)</f>
      </c>
      <c r="S189" s="5">
        <f>IF(AND('Actual Game'!I189="",'App Log'!I189=""),"",IF(TRIM('Actual Game'!I189&amp;"")=TRIM('App Log'!I189&amp;""),"MATCH","DIFF"))</f>
      </c>
      <c r="T189" s="5">
        <f>IF('Actual Game'!H189="","",'Actual Game'!H189)</f>
      </c>
      <c r="U189" s="5">
        <f>IF('App Log'!H189="","",'App Log'!H189)</f>
      </c>
      <c r="V189" s="5">
        <f>IF(AND('Actual Game'!H189="",'App Log'!H189=""),"",IF(TRIM('Actual Game'!H189&amp;"")=TRIM('App Log'!H189&amp;""),"MATCH","DIFF"))</f>
      </c>
      <c r="W189" s="5">
        <f>IF('Actual Game'!J189="","",'Actual Game'!J189)</f>
      </c>
      <c r="X189" s="5">
        <f>IF('App Log'!J189="","",'App Log'!J189)</f>
      </c>
      <c r="Y189" s="5">
        <f>IF(AND('Actual Game'!J189="",'App Log'!J189=""),"",IF(TRIM('Actual Game'!J189&amp;"")=TRIM('App Log'!J189&amp;""),"MATCH","DIFF"))</f>
      </c>
      <c r="Z189" s="5">
        <f>IF('Actual Game'!K189="","",'Actual Game'!K189)</f>
      </c>
      <c r="AA189" s="5">
        <f>IF('App Log'!K189="","",'App Log'!K189)</f>
      </c>
      <c r="AB189" s="5">
        <f>IF(AND('Actual Game'!K189="",'App Log'!K189=""),"",IF(TRIM('Actual Game'!K189&amp;"")=TRIM('App Log'!K189&amp;""),"MATCH","DIFF"))</f>
      </c>
      <c r="AC189" s="5">
        <f>IF(AND('Actual Game'!A189="",'App Log'!A189=""),"",IF(COUNTIF(D189:AB189,"DIFF")=0,"MATCH","CHECK"))</f>
      </c>
    </row>
    <row r="190" ht="19" customHeight="1">
      <c r="A190" s="5"/>
      <c r="B190" s="5">
        <f>IF('Actual Game'!B190="","",'Actual Game'!B190)</f>
      </c>
      <c r="C190" s="5">
        <f>IF('App Log'!B190="","",'App Log'!B190)</f>
      </c>
      <c r="D190" s="5">
        <f>IF(AND('Actual Game'!B190="",'App Log'!B190=""),"",IF(TRIM('Actual Game'!B190&amp;"")=TRIM('App Log'!B190&amp;""),"MATCH","DIFF"))</f>
      </c>
      <c r="E190" s="5">
        <f>IF('Actual Game'!C190="","",'Actual Game'!C190)</f>
      </c>
      <c r="F190" s="5">
        <f>IF('App Log'!C190="","",'App Log'!C190)</f>
      </c>
      <c r="G190" s="5">
        <f>IF(AND('Actual Game'!C190="",'App Log'!C190=""),"",IF(TRIM('Actual Game'!C190&amp;"")=TRIM('App Log'!C190&amp;""),"MATCH","DIFF"))</f>
      </c>
      <c r="H190" s="5">
        <f>IF('Actual Game'!D190="","",'Actual Game'!D190)</f>
      </c>
      <c r="I190" s="5">
        <f>IF('App Log'!D190="","",'App Log'!D190)</f>
      </c>
      <c r="J190" s="5">
        <f>IF(AND('Actual Game'!D190="",'App Log'!D190=""),"",IF(TRIM('Actual Game'!D190&amp;"")=TRIM('App Log'!D190&amp;""),"MATCH","DIFF"))</f>
      </c>
      <c r="K190" s="5">
        <f>IF('Actual Game'!E190="","",'Actual Game'!E190)</f>
      </c>
      <c r="L190" s="5">
        <f>IF('App Log'!E190="","",'App Log'!E190)</f>
      </c>
      <c r="M190" s="5">
        <f>IF(AND('Actual Game'!E190="",'App Log'!E190=""),"",IF(TRIM('Actual Game'!E190&amp;"")=TRIM('App Log'!E190&amp;""),"MATCH","DIFF"))</f>
      </c>
      <c r="N190" s="5">
        <f>IF('Actual Game'!F190="","",'Actual Game'!F190)</f>
      </c>
      <c r="O190" s="5">
        <f>IF('App Log'!F190="","",'App Log'!F190)</f>
      </c>
      <c r="P190" s="5">
        <f>IF(AND('Actual Game'!F190="",'App Log'!F190=""),"",IF(TRIM('Actual Game'!F190&amp;"")=TRIM('App Log'!F190&amp;""),"MATCH","DIFF"))</f>
      </c>
      <c r="Q190" s="5">
        <f>IF('Actual Game'!I190="","",'Actual Game'!I190)</f>
      </c>
      <c r="R190" s="5">
        <f>IF('App Log'!I190="","",'App Log'!I190)</f>
      </c>
      <c r="S190" s="5">
        <f>IF(AND('Actual Game'!I190="",'App Log'!I190=""),"",IF(TRIM('Actual Game'!I190&amp;"")=TRIM('App Log'!I190&amp;""),"MATCH","DIFF"))</f>
      </c>
      <c r="T190" s="5">
        <f>IF('Actual Game'!H190="","",'Actual Game'!H190)</f>
      </c>
      <c r="U190" s="5">
        <f>IF('App Log'!H190="","",'App Log'!H190)</f>
      </c>
      <c r="V190" s="5">
        <f>IF(AND('Actual Game'!H190="",'App Log'!H190=""),"",IF(TRIM('Actual Game'!H190&amp;"")=TRIM('App Log'!H190&amp;""),"MATCH","DIFF"))</f>
      </c>
      <c r="W190" s="5">
        <f>IF('Actual Game'!J190="","",'Actual Game'!J190)</f>
      </c>
      <c r="X190" s="5">
        <f>IF('App Log'!J190="","",'App Log'!J190)</f>
      </c>
      <c r="Y190" s="5">
        <f>IF(AND('Actual Game'!J190="",'App Log'!J190=""),"",IF(TRIM('Actual Game'!J190&amp;"")=TRIM('App Log'!J190&amp;""),"MATCH","DIFF"))</f>
      </c>
      <c r="Z190" s="5">
        <f>IF('Actual Game'!K190="","",'Actual Game'!K190)</f>
      </c>
      <c r="AA190" s="5">
        <f>IF('App Log'!K190="","",'App Log'!K190)</f>
      </c>
      <c r="AB190" s="5">
        <f>IF(AND('Actual Game'!K190="",'App Log'!K190=""),"",IF(TRIM('Actual Game'!K190&amp;"")=TRIM('App Log'!K190&amp;""),"MATCH","DIFF"))</f>
      </c>
      <c r="AC190" s="5">
        <f>IF(AND('Actual Game'!A190="",'App Log'!A190=""),"",IF(COUNTIF(D190:AB190,"DIFF")=0,"MATCH","CHECK"))</f>
      </c>
    </row>
    <row r="191" ht="19" customHeight="1">
      <c r="A191" s="5"/>
      <c r="B191" s="5">
        <f>IF('Actual Game'!B191="","",'Actual Game'!B191)</f>
      </c>
      <c r="C191" s="5">
        <f>IF('App Log'!B191="","",'App Log'!B191)</f>
      </c>
      <c r="D191" s="5">
        <f>IF(AND('Actual Game'!B191="",'App Log'!B191=""),"",IF(TRIM('Actual Game'!B191&amp;"")=TRIM('App Log'!B191&amp;""),"MATCH","DIFF"))</f>
      </c>
      <c r="E191" s="5">
        <f>IF('Actual Game'!C191="","",'Actual Game'!C191)</f>
      </c>
      <c r="F191" s="5">
        <f>IF('App Log'!C191="","",'App Log'!C191)</f>
      </c>
      <c r="G191" s="5">
        <f>IF(AND('Actual Game'!C191="",'App Log'!C191=""),"",IF(TRIM('Actual Game'!C191&amp;"")=TRIM('App Log'!C191&amp;""),"MATCH","DIFF"))</f>
      </c>
      <c r="H191" s="5">
        <f>IF('Actual Game'!D191="","",'Actual Game'!D191)</f>
      </c>
      <c r="I191" s="5">
        <f>IF('App Log'!D191="","",'App Log'!D191)</f>
      </c>
      <c r="J191" s="5">
        <f>IF(AND('Actual Game'!D191="",'App Log'!D191=""),"",IF(TRIM('Actual Game'!D191&amp;"")=TRIM('App Log'!D191&amp;""),"MATCH","DIFF"))</f>
      </c>
      <c r="K191" s="5">
        <f>IF('Actual Game'!E191="","",'Actual Game'!E191)</f>
      </c>
      <c r="L191" s="5">
        <f>IF('App Log'!E191="","",'App Log'!E191)</f>
      </c>
      <c r="M191" s="5">
        <f>IF(AND('Actual Game'!E191="",'App Log'!E191=""),"",IF(TRIM('Actual Game'!E191&amp;"")=TRIM('App Log'!E191&amp;""),"MATCH","DIFF"))</f>
      </c>
      <c r="N191" s="5">
        <f>IF('Actual Game'!F191="","",'Actual Game'!F191)</f>
      </c>
      <c r="O191" s="5">
        <f>IF('App Log'!F191="","",'App Log'!F191)</f>
      </c>
      <c r="P191" s="5">
        <f>IF(AND('Actual Game'!F191="",'App Log'!F191=""),"",IF(TRIM('Actual Game'!F191&amp;"")=TRIM('App Log'!F191&amp;""),"MATCH","DIFF"))</f>
      </c>
      <c r="Q191" s="5">
        <f>IF('Actual Game'!I191="","",'Actual Game'!I191)</f>
      </c>
      <c r="R191" s="5">
        <f>IF('App Log'!I191="","",'App Log'!I191)</f>
      </c>
      <c r="S191" s="5">
        <f>IF(AND('Actual Game'!I191="",'App Log'!I191=""),"",IF(TRIM('Actual Game'!I191&amp;"")=TRIM('App Log'!I191&amp;""),"MATCH","DIFF"))</f>
      </c>
      <c r="T191" s="5">
        <f>IF('Actual Game'!H191="","",'Actual Game'!H191)</f>
      </c>
      <c r="U191" s="5">
        <f>IF('App Log'!H191="","",'App Log'!H191)</f>
      </c>
      <c r="V191" s="5">
        <f>IF(AND('Actual Game'!H191="",'App Log'!H191=""),"",IF(TRIM('Actual Game'!H191&amp;"")=TRIM('App Log'!H191&amp;""),"MATCH","DIFF"))</f>
      </c>
      <c r="W191" s="5">
        <f>IF('Actual Game'!J191="","",'Actual Game'!J191)</f>
      </c>
      <c r="X191" s="5">
        <f>IF('App Log'!J191="","",'App Log'!J191)</f>
      </c>
      <c r="Y191" s="5">
        <f>IF(AND('Actual Game'!J191="",'App Log'!J191=""),"",IF(TRIM('Actual Game'!J191&amp;"")=TRIM('App Log'!J191&amp;""),"MATCH","DIFF"))</f>
      </c>
      <c r="Z191" s="5">
        <f>IF('Actual Game'!K191="","",'Actual Game'!K191)</f>
      </c>
      <c r="AA191" s="5">
        <f>IF('App Log'!K191="","",'App Log'!K191)</f>
      </c>
      <c r="AB191" s="5">
        <f>IF(AND('Actual Game'!K191="",'App Log'!K191=""),"",IF(TRIM('Actual Game'!K191&amp;"")=TRIM('App Log'!K191&amp;""),"MATCH","DIFF"))</f>
      </c>
      <c r="AC191" s="5">
        <f>IF(AND('Actual Game'!A191="",'App Log'!A191=""),"",IF(COUNTIF(D191:AB191,"DIFF")=0,"MATCH","CHECK"))</f>
      </c>
    </row>
    <row r="192" ht="19" customHeight="1">
      <c r="A192" s="5"/>
      <c r="B192" s="5">
        <f>IF('Actual Game'!B192="","",'Actual Game'!B192)</f>
      </c>
      <c r="C192" s="5">
        <f>IF('App Log'!B192="","",'App Log'!B192)</f>
      </c>
      <c r="D192" s="5">
        <f>IF(AND('Actual Game'!B192="",'App Log'!B192=""),"",IF(TRIM('Actual Game'!B192&amp;"")=TRIM('App Log'!B192&amp;""),"MATCH","DIFF"))</f>
      </c>
      <c r="E192" s="5">
        <f>IF('Actual Game'!C192="","",'Actual Game'!C192)</f>
      </c>
      <c r="F192" s="5">
        <f>IF('App Log'!C192="","",'App Log'!C192)</f>
      </c>
      <c r="G192" s="5">
        <f>IF(AND('Actual Game'!C192="",'App Log'!C192=""),"",IF(TRIM('Actual Game'!C192&amp;"")=TRIM('App Log'!C192&amp;""),"MATCH","DIFF"))</f>
      </c>
      <c r="H192" s="5">
        <f>IF('Actual Game'!D192="","",'Actual Game'!D192)</f>
      </c>
      <c r="I192" s="5">
        <f>IF('App Log'!D192="","",'App Log'!D192)</f>
      </c>
      <c r="J192" s="5">
        <f>IF(AND('Actual Game'!D192="",'App Log'!D192=""),"",IF(TRIM('Actual Game'!D192&amp;"")=TRIM('App Log'!D192&amp;""),"MATCH","DIFF"))</f>
      </c>
      <c r="K192" s="5">
        <f>IF('Actual Game'!E192="","",'Actual Game'!E192)</f>
      </c>
      <c r="L192" s="5">
        <f>IF('App Log'!E192="","",'App Log'!E192)</f>
      </c>
      <c r="M192" s="5">
        <f>IF(AND('Actual Game'!E192="",'App Log'!E192=""),"",IF(TRIM('Actual Game'!E192&amp;"")=TRIM('App Log'!E192&amp;""),"MATCH","DIFF"))</f>
      </c>
      <c r="N192" s="5">
        <f>IF('Actual Game'!F192="","",'Actual Game'!F192)</f>
      </c>
      <c r="O192" s="5">
        <f>IF('App Log'!F192="","",'App Log'!F192)</f>
      </c>
      <c r="P192" s="5">
        <f>IF(AND('Actual Game'!F192="",'App Log'!F192=""),"",IF(TRIM('Actual Game'!F192&amp;"")=TRIM('App Log'!F192&amp;""),"MATCH","DIFF"))</f>
      </c>
      <c r="Q192" s="5">
        <f>IF('Actual Game'!I192="","",'Actual Game'!I192)</f>
      </c>
      <c r="R192" s="5">
        <f>IF('App Log'!I192="","",'App Log'!I192)</f>
      </c>
      <c r="S192" s="5">
        <f>IF(AND('Actual Game'!I192="",'App Log'!I192=""),"",IF(TRIM('Actual Game'!I192&amp;"")=TRIM('App Log'!I192&amp;""),"MATCH","DIFF"))</f>
      </c>
      <c r="T192" s="5">
        <f>IF('Actual Game'!H192="","",'Actual Game'!H192)</f>
      </c>
      <c r="U192" s="5">
        <f>IF('App Log'!H192="","",'App Log'!H192)</f>
      </c>
      <c r="V192" s="5">
        <f>IF(AND('Actual Game'!H192="",'App Log'!H192=""),"",IF(TRIM('Actual Game'!H192&amp;"")=TRIM('App Log'!H192&amp;""),"MATCH","DIFF"))</f>
      </c>
      <c r="W192" s="5">
        <f>IF('Actual Game'!J192="","",'Actual Game'!J192)</f>
      </c>
      <c r="X192" s="5">
        <f>IF('App Log'!J192="","",'App Log'!J192)</f>
      </c>
      <c r="Y192" s="5">
        <f>IF(AND('Actual Game'!J192="",'App Log'!J192=""),"",IF(TRIM('Actual Game'!J192&amp;"")=TRIM('App Log'!J192&amp;""),"MATCH","DIFF"))</f>
      </c>
      <c r="Z192" s="5">
        <f>IF('Actual Game'!K192="","",'Actual Game'!K192)</f>
      </c>
      <c r="AA192" s="5">
        <f>IF('App Log'!K192="","",'App Log'!K192)</f>
      </c>
      <c r="AB192" s="5">
        <f>IF(AND('Actual Game'!K192="",'App Log'!K192=""),"",IF(TRIM('Actual Game'!K192&amp;"")=TRIM('App Log'!K192&amp;""),"MATCH","DIFF"))</f>
      </c>
      <c r="AC192" s="5">
        <f>IF(AND('Actual Game'!A192="",'App Log'!A192=""),"",IF(COUNTIF(D192:AB192,"DIFF")=0,"MATCH","CHECK"))</f>
      </c>
    </row>
    <row r="193" ht="19" customHeight="1">
      <c r="A193" s="5"/>
      <c r="B193" s="5">
        <f>IF('Actual Game'!B193="","",'Actual Game'!B193)</f>
      </c>
      <c r="C193" s="5">
        <f>IF('App Log'!B193="","",'App Log'!B193)</f>
      </c>
      <c r="D193" s="5">
        <f>IF(AND('Actual Game'!B193="",'App Log'!B193=""),"",IF(TRIM('Actual Game'!B193&amp;"")=TRIM('App Log'!B193&amp;""),"MATCH","DIFF"))</f>
      </c>
      <c r="E193" s="5">
        <f>IF('Actual Game'!C193="","",'Actual Game'!C193)</f>
      </c>
      <c r="F193" s="5">
        <f>IF('App Log'!C193="","",'App Log'!C193)</f>
      </c>
      <c r="G193" s="5">
        <f>IF(AND('Actual Game'!C193="",'App Log'!C193=""),"",IF(TRIM('Actual Game'!C193&amp;"")=TRIM('App Log'!C193&amp;""),"MATCH","DIFF"))</f>
      </c>
      <c r="H193" s="5">
        <f>IF('Actual Game'!D193="","",'Actual Game'!D193)</f>
      </c>
      <c r="I193" s="5">
        <f>IF('App Log'!D193="","",'App Log'!D193)</f>
      </c>
      <c r="J193" s="5">
        <f>IF(AND('Actual Game'!D193="",'App Log'!D193=""),"",IF(TRIM('Actual Game'!D193&amp;"")=TRIM('App Log'!D193&amp;""),"MATCH","DIFF"))</f>
      </c>
      <c r="K193" s="5">
        <f>IF('Actual Game'!E193="","",'Actual Game'!E193)</f>
      </c>
      <c r="L193" s="5">
        <f>IF('App Log'!E193="","",'App Log'!E193)</f>
      </c>
      <c r="M193" s="5">
        <f>IF(AND('Actual Game'!E193="",'App Log'!E193=""),"",IF(TRIM('Actual Game'!E193&amp;"")=TRIM('App Log'!E193&amp;""),"MATCH","DIFF"))</f>
      </c>
      <c r="N193" s="5">
        <f>IF('Actual Game'!F193="","",'Actual Game'!F193)</f>
      </c>
      <c r="O193" s="5">
        <f>IF('App Log'!F193="","",'App Log'!F193)</f>
      </c>
      <c r="P193" s="5">
        <f>IF(AND('Actual Game'!F193="",'App Log'!F193=""),"",IF(TRIM('Actual Game'!F193&amp;"")=TRIM('App Log'!F193&amp;""),"MATCH","DIFF"))</f>
      </c>
      <c r="Q193" s="5">
        <f>IF('Actual Game'!I193="","",'Actual Game'!I193)</f>
      </c>
      <c r="R193" s="5">
        <f>IF('App Log'!I193="","",'App Log'!I193)</f>
      </c>
      <c r="S193" s="5">
        <f>IF(AND('Actual Game'!I193="",'App Log'!I193=""),"",IF(TRIM('Actual Game'!I193&amp;"")=TRIM('App Log'!I193&amp;""),"MATCH","DIFF"))</f>
      </c>
      <c r="T193" s="5">
        <f>IF('Actual Game'!H193="","",'Actual Game'!H193)</f>
      </c>
      <c r="U193" s="5">
        <f>IF('App Log'!H193="","",'App Log'!H193)</f>
      </c>
      <c r="V193" s="5">
        <f>IF(AND('Actual Game'!H193="",'App Log'!H193=""),"",IF(TRIM('Actual Game'!H193&amp;"")=TRIM('App Log'!H193&amp;""),"MATCH","DIFF"))</f>
      </c>
      <c r="W193" s="5">
        <f>IF('Actual Game'!J193="","",'Actual Game'!J193)</f>
      </c>
      <c r="X193" s="5">
        <f>IF('App Log'!J193="","",'App Log'!J193)</f>
      </c>
      <c r="Y193" s="5">
        <f>IF(AND('Actual Game'!J193="",'App Log'!J193=""),"",IF(TRIM('Actual Game'!J193&amp;"")=TRIM('App Log'!J193&amp;""),"MATCH","DIFF"))</f>
      </c>
      <c r="Z193" s="5">
        <f>IF('Actual Game'!K193="","",'Actual Game'!K193)</f>
      </c>
      <c r="AA193" s="5">
        <f>IF('App Log'!K193="","",'App Log'!K193)</f>
      </c>
      <c r="AB193" s="5">
        <f>IF(AND('Actual Game'!K193="",'App Log'!K193=""),"",IF(TRIM('Actual Game'!K193&amp;"")=TRIM('App Log'!K193&amp;""),"MATCH","DIFF"))</f>
      </c>
      <c r="AC193" s="5">
        <f>IF(AND('Actual Game'!A193="",'App Log'!A193=""),"",IF(COUNTIF(D193:AB193,"DIFF")=0,"MATCH","CHECK"))</f>
      </c>
    </row>
    <row r="194" ht="19" customHeight="1">
      <c r="A194" s="5"/>
      <c r="B194" s="5">
        <f>IF('Actual Game'!B194="","",'Actual Game'!B194)</f>
      </c>
      <c r="C194" s="5">
        <f>IF('App Log'!B194="","",'App Log'!B194)</f>
      </c>
      <c r="D194" s="5">
        <f>IF(AND('Actual Game'!B194="",'App Log'!B194=""),"",IF(TRIM('Actual Game'!B194&amp;"")=TRIM('App Log'!B194&amp;""),"MATCH","DIFF"))</f>
      </c>
      <c r="E194" s="5">
        <f>IF('Actual Game'!C194="","",'Actual Game'!C194)</f>
      </c>
      <c r="F194" s="5">
        <f>IF('App Log'!C194="","",'App Log'!C194)</f>
      </c>
      <c r="G194" s="5">
        <f>IF(AND('Actual Game'!C194="",'App Log'!C194=""),"",IF(TRIM('Actual Game'!C194&amp;"")=TRIM('App Log'!C194&amp;""),"MATCH","DIFF"))</f>
      </c>
      <c r="H194" s="5">
        <f>IF('Actual Game'!D194="","",'Actual Game'!D194)</f>
      </c>
      <c r="I194" s="5">
        <f>IF('App Log'!D194="","",'App Log'!D194)</f>
      </c>
      <c r="J194" s="5">
        <f>IF(AND('Actual Game'!D194="",'App Log'!D194=""),"",IF(TRIM('Actual Game'!D194&amp;"")=TRIM('App Log'!D194&amp;""),"MATCH","DIFF"))</f>
      </c>
      <c r="K194" s="5">
        <f>IF('Actual Game'!E194="","",'Actual Game'!E194)</f>
      </c>
      <c r="L194" s="5">
        <f>IF('App Log'!E194="","",'App Log'!E194)</f>
      </c>
      <c r="M194" s="5">
        <f>IF(AND('Actual Game'!E194="",'App Log'!E194=""),"",IF(TRIM('Actual Game'!E194&amp;"")=TRIM('App Log'!E194&amp;""),"MATCH","DIFF"))</f>
      </c>
      <c r="N194" s="5">
        <f>IF('Actual Game'!F194="","",'Actual Game'!F194)</f>
      </c>
      <c r="O194" s="5">
        <f>IF('App Log'!F194="","",'App Log'!F194)</f>
      </c>
      <c r="P194" s="5">
        <f>IF(AND('Actual Game'!F194="",'App Log'!F194=""),"",IF(TRIM('Actual Game'!F194&amp;"")=TRIM('App Log'!F194&amp;""),"MATCH","DIFF"))</f>
      </c>
      <c r="Q194" s="5">
        <f>IF('Actual Game'!I194="","",'Actual Game'!I194)</f>
      </c>
      <c r="R194" s="5">
        <f>IF('App Log'!I194="","",'App Log'!I194)</f>
      </c>
      <c r="S194" s="5">
        <f>IF(AND('Actual Game'!I194="",'App Log'!I194=""),"",IF(TRIM('Actual Game'!I194&amp;"")=TRIM('App Log'!I194&amp;""),"MATCH","DIFF"))</f>
      </c>
      <c r="T194" s="5">
        <f>IF('Actual Game'!H194="","",'Actual Game'!H194)</f>
      </c>
      <c r="U194" s="5">
        <f>IF('App Log'!H194="","",'App Log'!H194)</f>
      </c>
      <c r="V194" s="5">
        <f>IF(AND('Actual Game'!H194="",'App Log'!H194=""),"",IF(TRIM('Actual Game'!H194&amp;"")=TRIM('App Log'!H194&amp;""),"MATCH","DIFF"))</f>
      </c>
      <c r="W194" s="5">
        <f>IF('Actual Game'!J194="","",'Actual Game'!J194)</f>
      </c>
      <c r="X194" s="5">
        <f>IF('App Log'!J194="","",'App Log'!J194)</f>
      </c>
      <c r="Y194" s="5">
        <f>IF(AND('Actual Game'!J194="",'App Log'!J194=""),"",IF(TRIM('Actual Game'!J194&amp;"")=TRIM('App Log'!J194&amp;""),"MATCH","DIFF"))</f>
      </c>
      <c r="Z194" s="5">
        <f>IF('Actual Game'!K194="","",'Actual Game'!K194)</f>
      </c>
      <c r="AA194" s="5">
        <f>IF('App Log'!K194="","",'App Log'!K194)</f>
      </c>
      <c r="AB194" s="5">
        <f>IF(AND('Actual Game'!K194="",'App Log'!K194=""),"",IF(TRIM('Actual Game'!K194&amp;"")=TRIM('App Log'!K194&amp;""),"MATCH","DIFF"))</f>
      </c>
      <c r="AC194" s="5">
        <f>IF(AND('Actual Game'!A194="",'App Log'!A194=""),"",IF(COUNTIF(D194:AB194,"DIFF")=0,"MATCH","CHECK"))</f>
      </c>
    </row>
    <row r="195" ht="19" customHeight="1">
      <c r="A195" s="5"/>
      <c r="B195" s="5">
        <f>IF('Actual Game'!B195="","",'Actual Game'!B195)</f>
      </c>
      <c r="C195" s="5">
        <f>IF('App Log'!B195="","",'App Log'!B195)</f>
      </c>
      <c r="D195" s="5">
        <f>IF(AND('Actual Game'!B195="",'App Log'!B195=""),"",IF(TRIM('Actual Game'!B195&amp;"")=TRIM('App Log'!B195&amp;""),"MATCH","DIFF"))</f>
      </c>
      <c r="E195" s="5">
        <f>IF('Actual Game'!C195="","",'Actual Game'!C195)</f>
      </c>
      <c r="F195" s="5">
        <f>IF('App Log'!C195="","",'App Log'!C195)</f>
      </c>
      <c r="G195" s="5">
        <f>IF(AND('Actual Game'!C195="",'App Log'!C195=""),"",IF(TRIM('Actual Game'!C195&amp;"")=TRIM('App Log'!C195&amp;""),"MATCH","DIFF"))</f>
      </c>
      <c r="H195" s="5">
        <f>IF('Actual Game'!D195="","",'Actual Game'!D195)</f>
      </c>
      <c r="I195" s="5">
        <f>IF('App Log'!D195="","",'App Log'!D195)</f>
      </c>
      <c r="J195" s="5">
        <f>IF(AND('Actual Game'!D195="",'App Log'!D195=""),"",IF(TRIM('Actual Game'!D195&amp;"")=TRIM('App Log'!D195&amp;""),"MATCH","DIFF"))</f>
      </c>
      <c r="K195" s="5">
        <f>IF('Actual Game'!E195="","",'Actual Game'!E195)</f>
      </c>
      <c r="L195" s="5">
        <f>IF('App Log'!E195="","",'App Log'!E195)</f>
      </c>
      <c r="M195" s="5">
        <f>IF(AND('Actual Game'!E195="",'App Log'!E195=""),"",IF(TRIM('Actual Game'!E195&amp;"")=TRIM('App Log'!E195&amp;""),"MATCH","DIFF"))</f>
      </c>
      <c r="N195" s="5">
        <f>IF('Actual Game'!F195="","",'Actual Game'!F195)</f>
      </c>
      <c r="O195" s="5">
        <f>IF('App Log'!F195="","",'App Log'!F195)</f>
      </c>
      <c r="P195" s="5">
        <f>IF(AND('Actual Game'!F195="",'App Log'!F195=""),"",IF(TRIM('Actual Game'!F195&amp;"")=TRIM('App Log'!F195&amp;""),"MATCH","DIFF"))</f>
      </c>
      <c r="Q195" s="5">
        <f>IF('Actual Game'!I195="","",'Actual Game'!I195)</f>
      </c>
      <c r="R195" s="5">
        <f>IF('App Log'!I195="","",'App Log'!I195)</f>
      </c>
      <c r="S195" s="5">
        <f>IF(AND('Actual Game'!I195="",'App Log'!I195=""),"",IF(TRIM('Actual Game'!I195&amp;"")=TRIM('App Log'!I195&amp;""),"MATCH","DIFF"))</f>
      </c>
      <c r="T195" s="5">
        <f>IF('Actual Game'!H195="","",'Actual Game'!H195)</f>
      </c>
      <c r="U195" s="5">
        <f>IF('App Log'!H195="","",'App Log'!H195)</f>
      </c>
      <c r="V195" s="5">
        <f>IF(AND('Actual Game'!H195="",'App Log'!H195=""),"",IF(TRIM('Actual Game'!H195&amp;"")=TRIM('App Log'!H195&amp;""),"MATCH","DIFF"))</f>
      </c>
      <c r="W195" s="5">
        <f>IF('Actual Game'!J195="","",'Actual Game'!J195)</f>
      </c>
      <c r="X195" s="5">
        <f>IF('App Log'!J195="","",'App Log'!J195)</f>
      </c>
      <c r="Y195" s="5">
        <f>IF(AND('Actual Game'!J195="",'App Log'!J195=""),"",IF(TRIM('Actual Game'!J195&amp;"")=TRIM('App Log'!J195&amp;""),"MATCH","DIFF"))</f>
      </c>
      <c r="Z195" s="5">
        <f>IF('Actual Game'!K195="","",'Actual Game'!K195)</f>
      </c>
      <c r="AA195" s="5">
        <f>IF('App Log'!K195="","",'App Log'!K195)</f>
      </c>
      <c r="AB195" s="5">
        <f>IF(AND('Actual Game'!K195="",'App Log'!K195=""),"",IF(TRIM('Actual Game'!K195&amp;"")=TRIM('App Log'!K195&amp;""),"MATCH","DIFF"))</f>
      </c>
      <c r="AC195" s="5">
        <f>IF(AND('Actual Game'!A195="",'App Log'!A195=""),"",IF(COUNTIF(D195:AB195,"DIFF")=0,"MATCH","CHECK"))</f>
      </c>
    </row>
    <row r="196" ht="19" customHeight="1">
      <c r="A196" s="5"/>
      <c r="B196" s="5">
        <f>IF('Actual Game'!B196="","",'Actual Game'!B196)</f>
      </c>
      <c r="C196" s="5">
        <f>IF('App Log'!B196="","",'App Log'!B196)</f>
      </c>
      <c r="D196" s="5">
        <f>IF(AND('Actual Game'!B196="",'App Log'!B196=""),"",IF(TRIM('Actual Game'!B196&amp;"")=TRIM('App Log'!B196&amp;""),"MATCH","DIFF"))</f>
      </c>
      <c r="E196" s="5">
        <f>IF('Actual Game'!C196="","",'Actual Game'!C196)</f>
      </c>
      <c r="F196" s="5">
        <f>IF('App Log'!C196="","",'App Log'!C196)</f>
      </c>
      <c r="G196" s="5">
        <f>IF(AND('Actual Game'!C196="",'App Log'!C196=""),"",IF(TRIM('Actual Game'!C196&amp;"")=TRIM('App Log'!C196&amp;""),"MATCH","DIFF"))</f>
      </c>
      <c r="H196" s="5">
        <f>IF('Actual Game'!D196="","",'Actual Game'!D196)</f>
      </c>
      <c r="I196" s="5">
        <f>IF('App Log'!D196="","",'App Log'!D196)</f>
      </c>
      <c r="J196" s="5">
        <f>IF(AND('Actual Game'!D196="",'App Log'!D196=""),"",IF(TRIM('Actual Game'!D196&amp;"")=TRIM('App Log'!D196&amp;""),"MATCH","DIFF"))</f>
      </c>
      <c r="K196" s="5">
        <f>IF('Actual Game'!E196="","",'Actual Game'!E196)</f>
      </c>
      <c r="L196" s="5">
        <f>IF('App Log'!E196="","",'App Log'!E196)</f>
      </c>
      <c r="M196" s="5">
        <f>IF(AND('Actual Game'!E196="",'App Log'!E196=""),"",IF(TRIM('Actual Game'!E196&amp;"")=TRIM('App Log'!E196&amp;""),"MATCH","DIFF"))</f>
      </c>
      <c r="N196" s="5">
        <f>IF('Actual Game'!F196="","",'Actual Game'!F196)</f>
      </c>
      <c r="O196" s="5">
        <f>IF('App Log'!F196="","",'App Log'!F196)</f>
      </c>
      <c r="P196" s="5">
        <f>IF(AND('Actual Game'!F196="",'App Log'!F196=""),"",IF(TRIM('Actual Game'!F196&amp;"")=TRIM('App Log'!F196&amp;""),"MATCH","DIFF"))</f>
      </c>
      <c r="Q196" s="5">
        <f>IF('Actual Game'!I196="","",'Actual Game'!I196)</f>
      </c>
      <c r="R196" s="5">
        <f>IF('App Log'!I196="","",'App Log'!I196)</f>
      </c>
      <c r="S196" s="5">
        <f>IF(AND('Actual Game'!I196="",'App Log'!I196=""),"",IF(TRIM('Actual Game'!I196&amp;"")=TRIM('App Log'!I196&amp;""),"MATCH","DIFF"))</f>
      </c>
      <c r="T196" s="5">
        <f>IF('Actual Game'!H196="","",'Actual Game'!H196)</f>
      </c>
      <c r="U196" s="5">
        <f>IF('App Log'!H196="","",'App Log'!H196)</f>
      </c>
      <c r="V196" s="5">
        <f>IF(AND('Actual Game'!H196="",'App Log'!H196=""),"",IF(TRIM('Actual Game'!H196&amp;"")=TRIM('App Log'!H196&amp;""),"MATCH","DIFF"))</f>
      </c>
      <c r="W196" s="5">
        <f>IF('Actual Game'!J196="","",'Actual Game'!J196)</f>
      </c>
      <c r="X196" s="5">
        <f>IF('App Log'!J196="","",'App Log'!J196)</f>
      </c>
      <c r="Y196" s="5">
        <f>IF(AND('Actual Game'!J196="",'App Log'!J196=""),"",IF(TRIM('Actual Game'!J196&amp;"")=TRIM('App Log'!J196&amp;""),"MATCH","DIFF"))</f>
      </c>
      <c r="Z196" s="5">
        <f>IF('Actual Game'!K196="","",'Actual Game'!K196)</f>
      </c>
      <c r="AA196" s="5">
        <f>IF('App Log'!K196="","",'App Log'!K196)</f>
      </c>
      <c r="AB196" s="5">
        <f>IF(AND('Actual Game'!K196="",'App Log'!K196=""),"",IF(TRIM('Actual Game'!K196&amp;"")=TRIM('App Log'!K196&amp;""),"MATCH","DIFF"))</f>
      </c>
      <c r="AC196" s="5">
        <f>IF(AND('Actual Game'!A196="",'App Log'!A196=""),"",IF(COUNTIF(D196:AB196,"DIFF")=0,"MATCH","CHECK"))</f>
      </c>
    </row>
    <row r="197" ht="19" customHeight="1">
      <c r="A197" s="5"/>
      <c r="B197" s="5">
        <f>IF('Actual Game'!B197="","",'Actual Game'!B197)</f>
      </c>
      <c r="C197" s="5">
        <f>IF('App Log'!B197="","",'App Log'!B197)</f>
      </c>
      <c r="D197" s="5">
        <f>IF(AND('Actual Game'!B197="",'App Log'!B197=""),"",IF(TRIM('Actual Game'!B197&amp;"")=TRIM('App Log'!B197&amp;""),"MATCH","DIFF"))</f>
      </c>
      <c r="E197" s="5">
        <f>IF('Actual Game'!C197="","",'Actual Game'!C197)</f>
      </c>
      <c r="F197" s="5">
        <f>IF('App Log'!C197="","",'App Log'!C197)</f>
      </c>
      <c r="G197" s="5">
        <f>IF(AND('Actual Game'!C197="",'App Log'!C197=""),"",IF(TRIM('Actual Game'!C197&amp;"")=TRIM('App Log'!C197&amp;""),"MATCH","DIFF"))</f>
      </c>
      <c r="H197" s="5">
        <f>IF('Actual Game'!D197="","",'Actual Game'!D197)</f>
      </c>
      <c r="I197" s="5">
        <f>IF('App Log'!D197="","",'App Log'!D197)</f>
      </c>
      <c r="J197" s="5">
        <f>IF(AND('Actual Game'!D197="",'App Log'!D197=""),"",IF(TRIM('Actual Game'!D197&amp;"")=TRIM('App Log'!D197&amp;""),"MATCH","DIFF"))</f>
      </c>
      <c r="K197" s="5">
        <f>IF('Actual Game'!E197="","",'Actual Game'!E197)</f>
      </c>
      <c r="L197" s="5">
        <f>IF('App Log'!E197="","",'App Log'!E197)</f>
      </c>
      <c r="M197" s="5">
        <f>IF(AND('Actual Game'!E197="",'App Log'!E197=""),"",IF(TRIM('Actual Game'!E197&amp;"")=TRIM('App Log'!E197&amp;""),"MATCH","DIFF"))</f>
      </c>
      <c r="N197" s="5">
        <f>IF('Actual Game'!F197="","",'Actual Game'!F197)</f>
      </c>
      <c r="O197" s="5">
        <f>IF('App Log'!F197="","",'App Log'!F197)</f>
      </c>
      <c r="P197" s="5">
        <f>IF(AND('Actual Game'!F197="",'App Log'!F197=""),"",IF(TRIM('Actual Game'!F197&amp;"")=TRIM('App Log'!F197&amp;""),"MATCH","DIFF"))</f>
      </c>
      <c r="Q197" s="5">
        <f>IF('Actual Game'!I197="","",'Actual Game'!I197)</f>
      </c>
      <c r="R197" s="5">
        <f>IF('App Log'!I197="","",'App Log'!I197)</f>
      </c>
      <c r="S197" s="5">
        <f>IF(AND('Actual Game'!I197="",'App Log'!I197=""),"",IF(TRIM('Actual Game'!I197&amp;"")=TRIM('App Log'!I197&amp;""),"MATCH","DIFF"))</f>
      </c>
      <c r="T197" s="5">
        <f>IF('Actual Game'!H197="","",'Actual Game'!H197)</f>
      </c>
      <c r="U197" s="5">
        <f>IF('App Log'!H197="","",'App Log'!H197)</f>
      </c>
      <c r="V197" s="5">
        <f>IF(AND('Actual Game'!H197="",'App Log'!H197=""),"",IF(TRIM('Actual Game'!H197&amp;"")=TRIM('App Log'!H197&amp;""),"MATCH","DIFF"))</f>
      </c>
      <c r="W197" s="5">
        <f>IF('Actual Game'!J197="","",'Actual Game'!J197)</f>
      </c>
      <c r="X197" s="5">
        <f>IF('App Log'!J197="","",'App Log'!J197)</f>
      </c>
      <c r="Y197" s="5">
        <f>IF(AND('Actual Game'!J197="",'App Log'!J197=""),"",IF(TRIM('Actual Game'!J197&amp;"")=TRIM('App Log'!J197&amp;""),"MATCH","DIFF"))</f>
      </c>
      <c r="Z197" s="5">
        <f>IF('Actual Game'!K197="","",'Actual Game'!K197)</f>
      </c>
      <c r="AA197" s="5">
        <f>IF('App Log'!K197="","",'App Log'!K197)</f>
      </c>
      <c r="AB197" s="5">
        <f>IF(AND('Actual Game'!K197="",'App Log'!K197=""),"",IF(TRIM('Actual Game'!K197&amp;"")=TRIM('App Log'!K197&amp;""),"MATCH","DIFF"))</f>
      </c>
      <c r="AC197" s="5">
        <f>IF(AND('Actual Game'!A197="",'App Log'!A197=""),"",IF(COUNTIF(D197:AB197,"DIFF")=0,"MATCH","CHECK"))</f>
      </c>
    </row>
    <row r="198" ht="19" customHeight="1">
      <c r="A198" s="5"/>
      <c r="B198" s="5">
        <f>IF('Actual Game'!B198="","",'Actual Game'!B198)</f>
      </c>
      <c r="C198" s="5">
        <f>IF('App Log'!B198="","",'App Log'!B198)</f>
      </c>
      <c r="D198" s="5">
        <f>IF(AND('Actual Game'!B198="",'App Log'!B198=""),"",IF(TRIM('Actual Game'!B198&amp;"")=TRIM('App Log'!B198&amp;""),"MATCH","DIFF"))</f>
      </c>
      <c r="E198" s="5">
        <f>IF('Actual Game'!C198="","",'Actual Game'!C198)</f>
      </c>
      <c r="F198" s="5">
        <f>IF('App Log'!C198="","",'App Log'!C198)</f>
      </c>
      <c r="G198" s="5">
        <f>IF(AND('Actual Game'!C198="",'App Log'!C198=""),"",IF(TRIM('Actual Game'!C198&amp;"")=TRIM('App Log'!C198&amp;""),"MATCH","DIFF"))</f>
      </c>
      <c r="H198" s="5">
        <f>IF('Actual Game'!D198="","",'Actual Game'!D198)</f>
      </c>
      <c r="I198" s="5">
        <f>IF('App Log'!D198="","",'App Log'!D198)</f>
      </c>
      <c r="J198" s="5">
        <f>IF(AND('Actual Game'!D198="",'App Log'!D198=""),"",IF(TRIM('Actual Game'!D198&amp;"")=TRIM('App Log'!D198&amp;""),"MATCH","DIFF"))</f>
      </c>
      <c r="K198" s="5">
        <f>IF('Actual Game'!E198="","",'Actual Game'!E198)</f>
      </c>
      <c r="L198" s="5">
        <f>IF('App Log'!E198="","",'App Log'!E198)</f>
      </c>
      <c r="M198" s="5">
        <f>IF(AND('Actual Game'!E198="",'App Log'!E198=""),"",IF(TRIM('Actual Game'!E198&amp;"")=TRIM('App Log'!E198&amp;""),"MATCH","DIFF"))</f>
      </c>
      <c r="N198" s="5">
        <f>IF('Actual Game'!F198="","",'Actual Game'!F198)</f>
      </c>
      <c r="O198" s="5">
        <f>IF('App Log'!F198="","",'App Log'!F198)</f>
      </c>
      <c r="P198" s="5">
        <f>IF(AND('Actual Game'!F198="",'App Log'!F198=""),"",IF(TRIM('Actual Game'!F198&amp;"")=TRIM('App Log'!F198&amp;""),"MATCH","DIFF"))</f>
      </c>
      <c r="Q198" s="5">
        <f>IF('Actual Game'!I198="","",'Actual Game'!I198)</f>
      </c>
      <c r="R198" s="5">
        <f>IF('App Log'!I198="","",'App Log'!I198)</f>
      </c>
      <c r="S198" s="5">
        <f>IF(AND('Actual Game'!I198="",'App Log'!I198=""),"",IF(TRIM('Actual Game'!I198&amp;"")=TRIM('App Log'!I198&amp;""),"MATCH","DIFF"))</f>
      </c>
      <c r="T198" s="5">
        <f>IF('Actual Game'!H198="","",'Actual Game'!H198)</f>
      </c>
      <c r="U198" s="5">
        <f>IF('App Log'!H198="","",'App Log'!H198)</f>
      </c>
      <c r="V198" s="5">
        <f>IF(AND('Actual Game'!H198="",'App Log'!H198=""),"",IF(TRIM('Actual Game'!H198&amp;"")=TRIM('App Log'!H198&amp;""),"MATCH","DIFF"))</f>
      </c>
      <c r="W198" s="5">
        <f>IF('Actual Game'!J198="","",'Actual Game'!J198)</f>
      </c>
      <c r="X198" s="5">
        <f>IF('App Log'!J198="","",'App Log'!J198)</f>
      </c>
      <c r="Y198" s="5">
        <f>IF(AND('Actual Game'!J198="",'App Log'!J198=""),"",IF(TRIM('Actual Game'!J198&amp;"")=TRIM('App Log'!J198&amp;""),"MATCH","DIFF"))</f>
      </c>
      <c r="Z198" s="5">
        <f>IF('Actual Game'!K198="","",'Actual Game'!K198)</f>
      </c>
      <c r="AA198" s="5">
        <f>IF('App Log'!K198="","",'App Log'!K198)</f>
      </c>
      <c r="AB198" s="5">
        <f>IF(AND('Actual Game'!K198="",'App Log'!K198=""),"",IF(TRIM('Actual Game'!K198&amp;"")=TRIM('App Log'!K198&amp;""),"MATCH","DIFF"))</f>
      </c>
      <c r="AC198" s="5">
        <f>IF(AND('Actual Game'!A198="",'App Log'!A198=""),"",IF(COUNTIF(D198:AB198,"DIFF")=0,"MATCH","CHECK"))</f>
      </c>
    </row>
    <row r="199" ht="19" customHeight="1">
      <c r="A199" s="5"/>
      <c r="B199" s="5">
        <f>IF('Actual Game'!B199="","",'Actual Game'!B199)</f>
      </c>
      <c r="C199" s="5">
        <f>IF('App Log'!B199="","",'App Log'!B199)</f>
      </c>
      <c r="D199" s="5">
        <f>IF(AND('Actual Game'!B199="",'App Log'!B199=""),"",IF(TRIM('Actual Game'!B199&amp;"")=TRIM('App Log'!B199&amp;""),"MATCH","DIFF"))</f>
      </c>
      <c r="E199" s="5">
        <f>IF('Actual Game'!C199="","",'Actual Game'!C199)</f>
      </c>
      <c r="F199" s="5">
        <f>IF('App Log'!C199="","",'App Log'!C199)</f>
      </c>
      <c r="G199" s="5">
        <f>IF(AND('Actual Game'!C199="",'App Log'!C199=""),"",IF(TRIM('Actual Game'!C199&amp;"")=TRIM('App Log'!C199&amp;""),"MATCH","DIFF"))</f>
      </c>
      <c r="H199" s="5">
        <f>IF('Actual Game'!D199="","",'Actual Game'!D199)</f>
      </c>
      <c r="I199" s="5">
        <f>IF('App Log'!D199="","",'App Log'!D199)</f>
      </c>
      <c r="J199" s="5">
        <f>IF(AND('Actual Game'!D199="",'App Log'!D199=""),"",IF(TRIM('Actual Game'!D199&amp;"")=TRIM('App Log'!D199&amp;""),"MATCH","DIFF"))</f>
      </c>
      <c r="K199" s="5">
        <f>IF('Actual Game'!E199="","",'Actual Game'!E199)</f>
      </c>
      <c r="L199" s="5">
        <f>IF('App Log'!E199="","",'App Log'!E199)</f>
      </c>
      <c r="M199" s="5">
        <f>IF(AND('Actual Game'!E199="",'App Log'!E199=""),"",IF(TRIM('Actual Game'!E199&amp;"")=TRIM('App Log'!E199&amp;""),"MATCH","DIFF"))</f>
      </c>
      <c r="N199" s="5">
        <f>IF('Actual Game'!F199="","",'Actual Game'!F199)</f>
      </c>
      <c r="O199" s="5">
        <f>IF('App Log'!F199="","",'App Log'!F199)</f>
      </c>
      <c r="P199" s="5">
        <f>IF(AND('Actual Game'!F199="",'App Log'!F199=""),"",IF(TRIM('Actual Game'!F199&amp;"")=TRIM('App Log'!F199&amp;""),"MATCH","DIFF"))</f>
      </c>
      <c r="Q199" s="5">
        <f>IF('Actual Game'!I199="","",'Actual Game'!I199)</f>
      </c>
      <c r="R199" s="5">
        <f>IF('App Log'!I199="","",'App Log'!I199)</f>
      </c>
      <c r="S199" s="5">
        <f>IF(AND('Actual Game'!I199="",'App Log'!I199=""),"",IF(TRIM('Actual Game'!I199&amp;"")=TRIM('App Log'!I199&amp;""),"MATCH","DIFF"))</f>
      </c>
      <c r="T199" s="5">
        <f>IF('Actual Game'!H199="","",'Actual Game'!H199)</f>
      </c>
      <c r="U199" s="5">
        <f>IF('App Log'!H199="","",'App Log'!H199)</f>
      </c>
      <c r="V199" s="5">
        <f>IF(AND('Actual Game'!H199="",'App Log'!H199=""),"",IF(TRIM('Actual Game'!H199&amp;"")=TRIM('App Log'!H199&amp;""),"MATCH","DIFF"))</f>
      </c>
      <c r="W199" s="5">
        <f>IF('Actual Game'!J199="","",'Actual Game'!J199)</f>
      </c>
      <c r="X199" s="5">
        <f>IF('App Log'!J199="","",'App Log'!J199)</f>
      </c>
      <c r="Y199" s="5">
        <f>IF(AND('Actual Game'!J199="",'App Log'!J199=""),"",IF(TRIM('Actual Game'!J199&amp;"")=TRIM('App Log'!J199&amp;""),"MATCH","DIFF"))</f>
      </c>
      <c r="Z199" s="5">
        <f>IF('Actual Game'!K199="","",'Actual Game'!K199)</f>
      </c>
      <c r="AA199" s="5">
        <f>IF('App Log'!K199="","",'App Log'!K199)</f>
      </c>
      <c r="AB199" s="5">
        <f>IF(AND('Actual Game'!K199="",'App Log'!K199=""),"",IF(TRIM('Actual Game'!K199&amp;"")=TRIM('App Log'!K199&amp;""),"MATCH","DIFF"))</f>
      </c>
      <c r="AC199" s="5">
        <f>IF(AND('Actual Game'!A199="",'App Log'!A199=""),"",IF(COUNTIF(D199:AB199,"DIFF")=0,"MATCH","CHECK"))</f>
      </c>
    </row>
    <row r="200" ht="19" customHeight="1">
      <c r="A200" s="5"/>
      <c r="B200" s="5">
        <f>IF('Actual Game'!B200="","",'Actual Game'!B200)</f>
      </c>
      <c r="C200" s="5">
        <f>IF('App Log'!B200="","",'App Log'!B200)</f>
      </c>
      <c r="D200" s="5">
        <f>IF(AND('Actual Game'!B200="",'App Log'!B200=""),"",IF(TRIM('Actual Game'!B200&amp;"")=TRIM('App Log'!B200&amp;""),"MATCH","DIFF"))</f>
      </c>
      <c r="E200" s="5">
        <f>IF('Actual Game'!C200="","",'Actual Game'!C200)</f>
      </c>
      <c r="F200" s="5">
        <f>IF('App Log'!C200="","",'App Log'!C200)</f>
      </c>
      <c r="G200" s="5">
        <f>IF(AND('Actual Game'!C200="",'App Log'!C200=""),"",IF(TRIM('Actual Game'!C200&amp;"")=TRIM('App Log'!C200&amp;""),"MATCH","DIFF"))</f>
      </c>
      <c r="H200" s="5">
        <f>IF('Actual Game'!D200="","",'Actual Game'!D200)</f>
      </c>
      <c r="I200" s="5">
        <f>IF('App Log'!D200="","",'App Log'!D200)</f>
      </c>
      <c r="J200" s="5">
        <f>IF(AND('Actual Game'!D200="",'App Log'!D200=""),"",IF(TRIM('Actual Game'!D200&amp;"")=TRIM('App Log'!D200&amp;""),"MATCH","DIFF"))</f>
      </c>
      <c r="K200" s="5">
        <f>IF('Actual Game'!E200="","",'Actual Game'!E200)</f>
      </c>
      <c r="L200" s="5">
        <f>IF('App Log'!E200="","",'App Log'!E200)</f>
      </c>
      <c r="M200" s="5">
        <f>IF(AND('Actual Game'!E200="",'App Log'!E200=""),"",IF(TRIM('Actual Game'!E200&amp;"")=TRIM('App Log'!E200&amp;""),"MATCH","DIFF"))</f>
      </c>
      <c r="N200" s="5">
        <f>IF('Actual Game'!F200="","",'Actual Game'!F200)</f>
      </c>
      <c r="O200" s="5">
        <f>IF('App Log'!F200="","",'App Log'!F200)</f>
      </c>
      <c r="P200" s="5">
        <f>IF(AND('Actual Game'!F200="",'App Log'!F200=""),"",IF(TRIM('Actual Game'!F200&amp;"")=TRIM('App Log'!F200&amp;""),"MATCH","DIFF"))</f>
      </c>
      <c r="Q200" s="5">
        <f>IF('Actual Game'!I200="","",'Actual Game'!I200)</f>
      </c>
      <c r="R200" s="5">
        <f>IF('App Log'!I200="","",'App Log'!I200)</f>
      </c>
      <c r="S200" s="5">
        <f>IF(AND('Actual Game'!I200="",'App Log'!I200=""),"",IF(TRIM('Actual Game'!I200&amp;"")=TRIM('App Log'!I200&amp;""),"MATCH","DIFF"))</f>
      </c>
      <c r="T200" s="5">
        <f>IF('Actual Game'!H200="","",'Actual Game'!H200)</f>
      </c>
      <c r="U200" s="5">
        <f>IF('App Log'!H200="","",'App Log'!H200)</f>
      </c>
      <c r="V200" s="5">
        <f>IF(AND('Actual Game'!H200="",'App Log'!H200=""),"",IF(TRIM('Actual Game'!H200&amp;"")=TRIM('App Log'!H200&amp;""),"MATCH","DIFF"))</f>
      </c>
      <c r="W200" s="5">
        <f>IF('Actual Game'!J200="","",'Actual Game'!J200)</f>
      </c>
      <c r="X200" s="5">
        <f>IF('App Log'!J200="","",'App Log'!J200)</f>
      </c>
      <c r="Y200" s="5">
        <f>IF(AND('Actual Game'!J200="",'App Log'!J200=""),"",IF(TRIM('Actual Game'!J200&amp;"")=TRIM('App Log'!J200&amp;""),"MATCH","DIFF"))</f>
      </c>
      <c r="Z200" s="5">
        <f>IF('Actual Game'!K200="","",'Actual Game'!K200)</f>
      </c>
      <c r="AA200" s="5">
        <f>IF('App Log'!K200="","",'App Log'!K200)</f>
      </c>
      <c r="AB200" s="5">
        <f>IF(AND('Actual Game'!K200="",'App Log'!K200=""),"",IF(TRIM('Actual Game'!K200&amp;"")=TRIM('App Log'!K200&amp;""),"MATCH","DIFF"))</f>
      </c>
      <c r="AC200" s="5">
        <f>IF(AND('Actual Game'!A200="",'App Log'!A200=""),"",IF(COUNTIF(D200:AB200,"DIFF")=0,"MATCH","CHECK"))</f>
      </c>
    </row>
    <row r="201" ht="19" customHeight="1">
      <c r="A201" s="5"/>
      <c r="B201" s="5">
        <f>IF('Actual Game'!B201="","",'Actual Game'!B201)</f>
      </c>
      <c r="C201" s="5">
        <f>IF('App Log'!B201="","",'App Log'!B201)</f>
      </c>
      <c r="D201" s="5">
        <f>IF(AND('Actual Game'!B201="",'App Log'!B201=""),"",IF(TRIM('Actual Game'!B201&amp;"")=TRIM('App Log'!B201&amp;""),"MATCH","DIFF"))</f>
      </c>
      <c r="E201" s="5">
        <f>IF('Actual Game'!C201="","",'Actual Game'!C201)</f>
      </c>
      <c r="F201" s="5">
        <f>IF('App Log'!C201="","",'App Log'!C201)</f>
      </c>
      <c r="G201" s="5">
        <f>IF(AND('Actual Game'!C201="",'App Log'!C201=""),"",IF(TRIM('Actual Game'!C201&amp;"")=TRIM('App Log'!C201&amp;""),"MATCH","DIFF"))</f>
      </c>
      <c r="H201" s="5">
        <f>IF('Actual Game'!D201="","",'Actual Game'!D201)</f>
      </c>
      <c r="I201" s="5">
        <f>IF('App Log'!D201="","",'App Log'!D201)</f>
      </c>
      <c r="J201" s="5">
        <f>IF(AND('Actual Game'!D201="",'App Log'!D201=""),"",IF(TRIM('Actual Game'!D201&amp;"")=TRIM('App Log'!D201&amp;""),"MATCH","DIFF"))</f>
      </c>
      <c r="K201" s="5">
        <f>IF('Actual Game'!E201="","",'Actual Game'!E201)</f>
      </c>
      <c r="L201" s="5">
        <f>IF('App Log'!E201="","",'App Log'!E201)</f>
      </c>
      <c r="M201" s="5">
        <f>IF(AND('Actual Game'!E201="",'App Log'!E201=""),"",IF(TRIM('Actual Game'!E201&amp;"")=TRIM('App Log'!E201&amp;""),"MATCH","DIFF"))</f>
      </c>
      <c r="N201" s="5">
        <f>IF('Actual Game'!F201="","",'Actual Game'!F201)</f>
      </c>
      <c r="O201" s="5">
        <f>IF('App Log'!F201="","",'App Log'!F201)</f>
      </c>
      <c r="P201" s="5">
        <f>IF(AND('Actual Game'!F201="",'App Log'!F201=""),"",IF(TRIM('Actual Game'!F201&amp;"")=TRIM('App Log'!F201&amp;""),"MATCH","DIFF"))</f>
      </c>
      <c r="Q201" s="5">
        <f>IF('Actual Game'!I201="","",'Actual Game'!I201)</f>
      </c>
      <c r="R201" s="5">
        <f>IF('App Log'!I201="","",'App Log'!I201)</f>
      </c>
      <c r="S201" s="5">
        <f>IF(AND('Actual Game'!I201="",'App Log'!I201=""),"",IF(TRIM('Actual Game'!I201&amp;"")=TRIM('App Log'!I201&amp;""),"MATCH","DIFF"))</f>
      </c>
      <c r="T201" s="5">
        <f>IF('Actual Game'!H201="","",'Actual Game'!H201)</f>
      </c>
      <c r="U201" s="5">
        <f>IF('App Log'!H201="","",'App Log'!H201)</f>
      </c>
      <c r="V201" s="5">
        <f>IF(AND('Actual Game'!H201="",'App Log'!H201=""),"",IF(TRIM('Actual Game'!H201&amp;"")=TRIM('App Log'!H201&amp;""),"MATCH","DIFF"))</f>
      </c>
      <c r="W201" s="5">
        <f>IF('Actual Game'!J201="","",'Actual Game'!J201)</f>
      </c>
      <c r="X201" s="5">
        <f>IF('App Log'!J201="","",'App Log'!J201)</f>
      </c>
      <c r="Y201" s="5">
        <f>IF(AND('Actual Game'!J201="",'App Log'!J201=""),"",IF(TRIM('Actual Game'!J201&amp;"")=TRIM('App Log'!J201&amp;""),"MATCH","DIFF"))</f>
      </c>
      <c r="Z201" s="5">
        <f>IF('Actual Game'!K201="","",'Actual Game'!K201)</f>
      </c>
      <c r="AA201" s="5">
        <f>IF('App Log'!K201="","",'App Log'!K201)</f>
      </c>
      <c r="AB201" s="5">
        <f>IF(AND('Actual Game'!K201="",'App Log'!K201=""),"",IF(TRIM('Actual Game'!K201&amp;"")=TRIM('App Log'!K201&amp;""),"MATCH","DIFF"))</f>
      </c>
      <c r="AC201" s="5">
        <f>IF(AND('Actual Game'!A201="",'App Log'!A201=""),"",IF(COUNTIF(D201:AB201,"DIFF")=0,"MATCH","CHECK"))</f>
      </c>
    </row>
    <row r="202" ht="19" customHeight="1">
      <c r="A202" s="5"/>
      <c r="B202" s="5">
        <f>IF('Actual Game'!B202="","",'Actual Game'!B202)</f>
      </c>
      <c r="C202" s="5">
        <f>IF('App Log'!B202="","",'App Log'!B202)</f>
      </c>
      <c r="D202" s="5">
        <f>IF(AND('Actual Game'!B202="",'App Log'!B202=""),"",IF(TRIM('Actual Game'!B202&amp;"")=TRIM('App Log'!B202&amp;""),"MATCH","DIFF"))</f>
      </c>
      <c r="E202" s="5">
        <f>IF('Actual Game'!C202="","",'Actual Game'!C202)</f>
      </c>
      <c r="F202" s="5">
        <f>IF('App Log'!C202="","",'App Log'!C202)</f>
      </c>
      <c r="G202" s="5">
        <f>IF(AND('Actual Game'!C202="",'App Log'!C202=""),"",IF(TRIM('Actual Game'!C202&amp;"")=TRIM('App Log'!C202&amp;""),"MATCH","DIFF"))</f>
      </c>
      <c r="H202" s="5">
        <f>IF('Actual Game'!D202="","",'Actual Game'!D202)</f>
      </c>
      <c r="I202" s="5">
        <f>IF('App Log'!D202="","",'App Log'!D202)</f>
      </c>
      <c r="J202" s="5">
        <f>IF(AND('Actual Game'!D202="",'App Log'!D202=""),"",IF(TRIM('Actual Game'!D202&amp;"")=TRIM('App Log'!D202&amp;""),"MATCH","DIFF"))</f>
      </c>
      <c r="K202" s="5">
        <f>IF('Actual Game'!E202="","",'Actual Game'!E202)</f>
      </c>
      <c r="L202" s="5">
        <f>IF('App Log'!E202="","",'App Log'!E202)</f>
      </c>
      <c r="M202" s="5">
        <f>IF(AND('Actual Game'!E202="",'App Log'!E202=""),"",IF(TRIM('Actual Game'!E202&amp;"")=TRIM('App Log'!E202&amp;""),"MATCH","DIFF"))</f>
      </c>
      <c r="N202" s="5">
        <f>IF('Actual Game'!F202="","",'Actual Game'!F202)</f>
      </c>
      <c r="O202" s="5">
        <f>IF('App Log'!F202="","",'App Log'!F202)</f>
      </c>
      <c r="P202" s="5">
        <f>IF(AND('Actual Game'!F202="",'App Log'!F202=""),"",IF(TRIM('Actual Game'!F202&amp;"")=TRIM('App Log'!F202&amp;""),"MATCH","DIFF"))</f>
      </c>
      <c r="Q202" s="5">
        <f>IF('Actual Game'!I202="","",'Actual Game'!I202)</f>
      </c>
      <c r="R202" s="5">
        <f>IF('App Log'!I202="","",'App Log'!I202)</f>
      </c>
      <c r="S202" s="5">
        <f>IF(AND('Actual Game'!I202="",'App Log'!I202=""),"",IF(TRIM('Actual Game'!I202&amp;"")=TRIM('App Log'!I202&amp;""),"MATCH","DIFF"))</f>
      </c>
      <c r="T202" s="5">
        <f>IF('Actual Game'!H202="","",'Actual Game'!H202)</f>
      </c>
      <c r="U202" s="5">
        <f>IF('App Log'!H202="","",'App Log'!H202)</f>
      </c>
      <c r="V202" s="5">
        <f>IF(AND('Actual Game'!H202="",'App Log'!H202=""),"",IF(TRIM('Actual Game'!H202&amp;"")=TRIM('App Log'!H202&amp;""),"MATCH","DIFF"))</f>
      </c>
      <c r="W202" s="5">
        <f>IF('Actual Game'!J202="","",'Actual Game'!J202)</f>
      </c>
      <c r="X202" s="5">
        <f>IF('App Log'!J202="","",'App Log'!J202)</f>
      </c>
      <c r="Y202" s="5">
        <f>IF(AND('Actual Game'!J202="",'App Log'!J202=""),"",IF(TRIM('Actual Game'!J202&amp;"")=TRIM('App Log'!J202&amp;""),"MATCH","DIFF"))</f>
      </c>
      <c r="Z202" s="5">
        <f>IF('Actual Game'!K202="","",'Actual Game'!K202)</f>
      </c>
      <c r="AA202" s="5">
        <f>IF('App Log'!K202="","",'App Log'!K202)</f>
      </c>
      <c r="AB202" s="5">
        <f>IF(AND('Actual Game'!K202="",'App Log'!K202=""),"",IF(TRIM('Actual Game'!K202&amp;"")=TRIM('App Log'!K202&amp;""),"MATCH","DIFF"))</f>
      </c>
      <c r="AC202" s="5">
        <f>IF(AND('Actual Game'!A202="",'App Log'!A202=""),"",IF(COUNTIF(D202:AB202,"DIFF")=0,"MATCH","CHECK"))</f>
      </c>
    </row>
    <row r="203" ht="19" customHeight="1">
      <c r="A203" s="5"/>
      <c r="B203" s="5">
        <f>IF('Actual Game'!B203="","",'Actual Game'!B203)</f>
      </c>
      <c r="C203" s="5">
        <f>IF('App Log'!B203="","",'App Log'!B203)</f>
      </c>
      <c r="D203" s="5">
        <f>IF(AND('Actual Game'!B203="",'App Log'!B203=""),"",IF(TRIM('Actual Game'!B203&amp;"")=TRIM('App Log'!B203&amp;""),"MATCH","DIFF"))</f>
      </c>
      <c r="E203" s="5">
        <f>IF('Actual Game'!C203="","",'Actual Game'!C203)</f>
      </c>
      <c r="F203" s="5">
        <f>IF('App Log'!C203="","",'App Log'!C203)</f>
      </c>
      <c r="G203" s="5">
        <f>IF(AND('Actual Game'!C203="",'App Log'!C203=""),"",IF(TRIM('Actual Game'!C203&amp;"")=TRIM('App Log'!C203&amp;""),"MATCH","DIFF"))</f>
      </c>
      <c r="H203" s="5">
        <f>IF('Actual Game'!D203="","",'Actual Game'!D203)</f>
      </c>
      <c r="I203" s="5">
        <f>IF('App Log'!D203="","",'App Log'!D203)</f>
      </c>
      <c r="J203" s="5">
        <f>IF(AND('Actual Game'!D203="",'App Log'!D203=""),"",IF(TRIM('Actual Game'!D203&amp;"")=TRIM('App Log'!D203&amp;""),"MATCH","DIFF"))</f>
      </c>
      <c r="K203" s="5">
        <f>IF('Actual Game'!E203="","",'Actual Game'!E203)</f>
      </c>
      <c r="L203" s="5">
        <f>IF('App Log'!E203="","",'App Log'!E203)</f>
      </c>
      <c r="M203" s="5">
        <f>IF(AND('Actual Game'!E203="",'App Log'!E203=""),"",IF(TRIM('Actual Game'!E203&amp;"")=TRIM('App Log'!E203&amp;""),"MATCH","DIFF"))</f>
      </c>
      <c r="N203" s="5">
        <f>IF('Actual Game'!F203="","",'Actual Game'!F203)</f>
      </c>
      <c r="O203" s="5">
        <f>IF('App Log'!F203="","",'App Log'!F203)</f>
      </c>
      <c r="P203" s="5">
        <f>IF(AND('Actual Game'!F203="",'App Log'!F203=""),"",IF(TRIM('Actual Game'!F203&amp;"")=TRIM('App Log'!F203&amp;""),"MATCH","DIFF"))</f>
      </c>
      <c r="Q203" s="5">
        <f>IF('Actual Game'!I203="","",'Actual Game'!I203)</f>
      </c>
      <c r="R203" s="5">
        <f>IF('App Log'!I203="","",'App Log'!I203)</f>
      </c>
      <c r="S203" s="5">
        <f>IF(AND('Actual Game'!I203="",'App Log'!I203=""),"",IF(TRIM('Actual Game'!I203&amp;"")=TRIM('App Log'!I203&amp;""),"MATCH","DIFF"))</f>
      </c>
      <c r="T203" s="5">
        <f>IF('Actual Game'!H203="","",'Actual Game'!H203)</f>
      </c>
      <c r="U203" s="5">
        <f>IF('App Log'!H203="","",'App Log'!H203)</f>
      </c>
      <c r="V203" s="5">
        <f>IF(AND('Actual Game'!H203="",'App Log'!H203=""),"",IF(TRIM('Actual Game'!H203&amp;"")=TRIM('App Log'!H203&amp;""),"MATCH","DIFF"))</f>
      </c>
      <c r="W203" s="5">
        <f>IF('Actual Game'!J203="","",'Actual Game'!J203)</f>
      </c>
      <c r="X203" s="5">
        <f>IF('App Log'!J203="","",'App Log'!J203)</f>
      </c>
      <c r="Y203" s="5">
        <f>IF(AND('Actual Game'!J203="",'App Log'!J203=""),"",IF(TRIM('Actual Game'!J203&amp;"")=TRIM('App Log'!J203&amp;""),"MATCH","DIFF"))</f>
      </c>
      <c r="Z203" s="5">
        <f>IF('Actual Game'!K203="","",'Actual Game'!K203)</f>
      </c>
      <c r="AA203" s="5">
        <f>IF('App Log'!K203="","",'App Log'!K203)</f>
      </c>
      <c r="AB203" s="5">
        <f>IF(AND('Actual Game'!K203="",'App Log'!K203=""),"",IF(TRIM('Actual Game'!K203&amp;"")=TRIM('App Log'!K203&amp;""),"MATCH","DIFF"))</f>
      </c>
      <c r="AC203" s="5">
        <f>IF(AND('Actual Game'!A203="",'App Log'!A203=""),"",IF(COUNTIF(D203:AB203,"DIFF")=0,"MATCH","CHECK"))</f>
      </c>
    </row>
    <row r="204" ht="19" customHeight="1">
      <c r="A204" s="5"/>
      <c r="B204" s="5">
        <f>IF('Actual Game'!B204="","",'Actual Game'!B204)</f>
      </c>
      <c r="C204" s="5">
        <f>IF('App Log'!B204="","",'App Log'!B204)</f>
      </c>
      <c r="D204" s="5">
        <f>IF(AND('Actual Game'!B204="",'App Log'!B204=""),"",IF(TRIM('Actual Game'!B204&amp;"")=TRIM('App Log'!B204&amp;""),"MATCH","DIFF"))</f>
      </c>
      <c r="E204" s="5">
        <f>IF('Actual Game'!C204="","",'Actual Game'!C204)</f>
      </c>
      <c r="F204" s="5">
        <f>IF('App Log'!C204="","",'App Log'!C204)</f>
      </c>
      <c r="G204" s="5">
        <f>IF(AND('Actual Game'!C204="",'App Log'!C204=""),"",IF(TRIM('Actual Game'!C204&amp;"")=TRIM('App Log'!C204&amp;""),"MATCH","DIFF"))</f>
      </c>
      <c r="H204" s="5">
        <f>IF('Actual Game'!D204="","",'Actual Game'!D204)</f>
      </c>
      <c r="I204" s="5">
        <f>IF('App Log'!D204="","",'App Log'!D204)</f>
      </c>
      <c r="J204" s="5">
        <f>IF(AND('Actual Game'!D204="",'App Log'!D204=""),"",IF(TRIM('Actual Game'!D204&amp;"")=TRIM('App Log'!D204&amp;""),"MATCH","DIFF"))</f>
      </c>
      <c r="K204" s="5">
        <f>IF('Actual Game'!E204="","",'Actual Game'!E204)</f>
      </c>
      <c r="L204" s="5">
        <f>IF('App Log'!E204="","",'App Log'!E204)</f>
      </c>
      <c r="M204" s="5">
        <f>IF(AND('Actual Game'!E204="",'App Log'!E204=""),"",IF(TRIM('Actual Game'!E204&amp;"")=TRIM('App Log'!E204&amp;""),"MATCH","DIFF"))</f>
      </c>
      <c r="N204" s="5">
        <f>IF('Actual Game'!F204="","",'Actual Game'!F204)</f>
      </c>
      <c r="O204" s="5">
        <f>IF('App Log'!F204="","",'App Log'!F204)</f>
      </c>
      <c r="P204" s="5">
        <f>IF(AND('Actual Game'!F204="",'App Log'!F204=""),"",IF(TRIM('Actual Game'!F204&amp;"")=TRIM('App Log'!F204&amp;""),"MATCH","DIFF"))</f>
      </c>
      <c r="Q204" s="5">
        <f>IF('Actual Game'!I204="","",'Actual Game'!I204)</f>
      </c>
      <c r="R204" s="5">
        <f>IF('App Log'!I204="","",'App Log'!I204)</f>
      </c>
      <c r="S204" s="5">
        <f>IF(AND('Actual Game'!I204="",'App Log'!I204=""),"",IF(TRIM('Actual Game'!I204&amp;"")=TRIM('App Log'!I204&amp;""),"MATCH","DIFF"))</f>
      </c>
      <c r="T204" s="5">
        <f>IF('Actual Game'!H204="","",'Actual Game'!H204)</f>
      </c>
      <c r="U204" s="5">
        <f>IF('App Log'!H204="","",'App Log'!H204)</f>
      </c>
      <c r="V204" s="5">
        <f>IF(AND('Actual Game'!H204="",'App Log'!H204=""),"",IF(TRIM('Actual Game'!H204&amp;"")=TRIM('App Log'!H204&amp;""),"MATCH","DIFF"))</f>
      </c>
      <c r="W204" s="5">
        <f>IF('Actual Game'!J204="","",'Actual Game'!J204)</f>
      </c>
      <c r="X204" s="5">
        <f>IF('App Log'!J204="","",'App Log'!J204)</f>
      </c>
      <c r="Y204" s="5">
        <f>IF(AND('Actual Game'!J204="",'App Log'!J204=""),"",IF(TRIM('Actual Game'!J204&amp;"")=TRIM('App Log'!J204&amp;""),"MATCH","DIFF"))</f>
      </c>
      <c r="Z204" s="5">
        <f>IF('Actual Game'!K204="","",'Actual Game'!K204)</f>
      </c>
      <c r="AA204" s="5">
        <f>IF('App Log'!K204="","",'App Log'!K204)</f>
      </c>
      <c r="AB204" s="5">
        <f>IF(AND('Actual Game'!K204="",'App Log'!K204=""),"",IF(TRIM('Actual Game'!K204&amp;"")=TRIM('App Log'!K204&amp;""),"MATCH","DIFF"))</f>
      </c>
      <c r="AC204" s="5">
        <f>IF(AND('Actual Game'!A204="",'App Log'!A204=""),"",IF(COUNTIF(D204:AB204,"DIFF")=0,"MATCH","CHECK"))</f>
      </c>
    </row>
    <row r="205" ht="19" customHeight="1">
      <c r="A205" s="5"/>
      <c r="B205" s="5">
        <f>IF('Actual Game'!B205="","",'Actual Game'!B205)</f>
      </c>
      <c r="C205" s="5">
        <f>IF('App Log'!B205="","",'App Log'!B205)</f>
      </c>
      <c r="D205" s="5">
        <f>IF(AND('Actual Game'!B205="",'App Log'!B205=""),"",IF(TRIM('Actual Game'!B205&amp;"")=TRIM('App Log'!B205&amp;""),"MATCH","DIFF"))</f>
      </c>
      <c r="E205" s="5">
        <f>IF('Actual Game'!C205="","",'Actual Game'!C205)</f>
      </c>
      <c r="F205" s="5">
        <f>IF('App Log'!C205="","",'App Log'!C205)</f>
      </c>
      <c r="G205" s="5">
        <f>IF(AND('Actual Game'!C205="",'App Log'!C205=""),"",IF(TRIM('Actual Game'!C205&amp;"")=TRIM('App Log'!C205&amp;""),"MATCH","DIFF"))</f>
      </c>
      <c r="H205" s="5">
        <f>IF('Actual Game'!D205="","",'Actual Game'!D205)</f>
      </c>
      <c r="I205" s="5">
        <f>IF('App Log'!D205="","",'App Log'!D205)</f>
      </c>
      <c r="J205" s="5">
        <f>IF(AND('Actual Game'!D205="",'App Log'!D205=""),"",IF(TRIM('Actual Game'!D205&amp;"")=TRIM('App Log'!D205&amp;""),"MATCH","DIFF"))</f>
      </c>
      <c r="K205" s="5">
        <f>IF('Actual Game'!E205="","",'Actual Game'!E205)</f>
      </c>
      <c r="L205" s="5">
        <f>IF('App Log'!E205="","",'App Log'!E205)</f>
      </c>
      <c r="M205" s="5">
        <f>IF(AND('Actual Game'!E205="",'App Log'!E205=""),"",IF(TRIM('Actual Game'!E205&amp;"")=TRIM('App Log'!E205&amp;""),"MATCH","DIFF"))</f>
      </c>
      <c r="N205" s="5">
        <f>IF('Actual Game'!F205="","",'Actual Game'!F205)</f>
      </c>
      <c r="O205" s="5">
        <f>IF('App Log'!F205="","",'App Log'!F205)</f>
      </c>
      <c r="P205" s="5">
        <f>IF(AND('Actual Game'!F205="",'App Log'!F205=""),"",IF(TRIM('Actual Game'!F205&amp;"")=TRIM('App Log'!F205&amp;""),"MATCH","DIFF"))</f>
      </c>
      <c r="Q205" s="5">
        <f>IF('Actual Game'!I205="","",'Actual Game'!I205)</f>
      </c>
      <c r="R205" s="5">
        <f>IF('App Log'!I205="","",'App Log'!I205)</f>
      </c>
      <c r="S205" s="5">
        <f>IF(AND('Actual Game'!I205="",'App Log'!I205=""),"",IF(TRIM('Actual Game'!I205&amp;"")=TRIM('App Log'!I205&amp;""),"MATCH","DIFF"))</f>
      </c>
      <c r="T205" s="5">
        <f>IF('Actual Game'!H205="","",'Actual Game'!H205)</f>
      </c>
      <c r="U205" s="5">
        <f>IF('App Log'!H205="","",'App Log'!H205)</f>
      </c>
      <c r="V205" s="5">
        <f>IF(AND('Actual Game'!H205="",'App Log'!H205=""),"",IF(TRIM('Actual Game'!H205&amp;"")=TRIM('App Log'!H205&amp;""),"MATCH","DIFF"))</f>
      </c>
      <c r="W205" s="5">
        <f>IF('Actual Game'!J205="","",'Actual Game'!J205)</f>
      </c>
      <c r="X205" s="5">
        <f>IF('App Log'!J205="","",'App Log'!J205)</f>
      </c>
      <c r="Y205" s="5">
        <f>IF(AND('Actual Game'!J205="",'App Log'!J205=""),"",IF(TRIM('Actual Game'!J205&amp;"")=TRIM('App Log'!J205&amp;""),"MATCH","DIFF"))</f>
      </c>
      <c r="Z205" s="5">
        <f>IF('Actual Game'!K205="","",'Actual Game'!K205)</f>
      </c>
      <c r="AA205" s="5">
        <f>IF('App Log'!K205="","",'App Log'!K205)</f>
      </c>
      <c r="AB205" s="5">
        <f>IF(AND('Actual Game'!K205="",'App Log'!K205=""),"",IF(TRIM('Actual Game'!K205&amp;"")=TRIM('App Log'!K205&amp;""),"MATCH","DIFF"))</f>
      </c>
      <c r="AC205" s="5">
        <f>IF(AND('Actual Game'!A205="",'App Log'!A205=""),"",IF(COUNTIF(D205:AB205,"DIFF")=0,"MATCH","CHECK"))</f>
      </c>
    </row>
    <row r="206" ht="19" customHeight="1">
      <c r="A206" s="5"/>
      <c r="B206" s="5">
        <f>IF('Actual Game'!B206="","",'Actual Game'!B206)</f>
      </c>
      <c r="C206" s="5">
        <f>IF('App Log'!B206="","",'App Log'!B206)</f>
      </c>
      <c r="D206" s="5">
        <f>IF(AND('Actual Game'!B206="",'App Log'!B206=""),"",IF(TRIM('Actual Game'!B206&amp;"")=TRIM('App Log'!B206&amp;""),"MATCH","DIFF"))</f>
      </c>
      <c r="E206" s="5">
        <f>IF('Actual Game'!C206="","",'Actual Game'!C206)</f>
      </c>
      <c r="F206" s="5">
        <f>IF('App Log'!C206="","",'App Log'!C206)</f>
      </c>
      <c r="G206" s="5">
        <f>IF(AND('Actual Game'!C206="",'App Log'!C206=""),"",IF(TRIM('Actual Game'!C206&amp;"")=TRIM('App Log'!C206&amp;""),"MATCH","DIFF"))</f>
      </c>
      <c r="H206" s="5">
        <f>IF('Actual Game'!D206="","",'Actual Game'!D206)</f>
      </c>
      <c r="I206" s="5">
        <f>IF('App Log'!D206="","",'App Log'!D206)</f>
      </c>
      <c r="J206" s="5">
        <f>IF(AND('Actual Game'!D206="",'App Log'!D206=""),"",IF(TRIM('Actual Game'!D206&amp;"")=TRIM('App Log'!D206&amp;""),"MATCH","DIFF"))</f>
      </c>
      <c r="K206" s="5">
        <f>IF('Actual Game'!E206="","",'Actual Game'!E206)</f>
      </c>
      <c r="L206" s="5">
        <f>IF('App Log'!E206="","",'App Log'!E206)</f>
      </c>
      <c r="M206" s="5">
        <f>IF(AND('Actual Game'!E206="",'App Log'!E206=""),"",IF(TRIM('Actual Game'!E206&amp;"")=TRIM('App Log'!E206&amp;""),"MATCH","DIFF"))</f>
      </c>
      <c r="N206" s="5">
        <f>IF('Actual Game'!F206="","",'Actual Game'!F206)</f>
      </c>
      <c r="O206" s="5">
        <f>IF('App Log'!F206="","",'App Log'!F206)</f>
      </c>
      <c r="P206" s="5">
        <f>IF(AND('Actual Game'!F206="",'App Log'!F206=""),"",IF(TRIM('Actual Game'!F206&amp;"")=TRIM('App Log'!F206&amp;""),"MATCH","DIFF"))</f>
      </c>
      <c r="Q206" s="5">
        <f>IF('Actual Game'!I206="","",'Actual Game'!I206)</f>
      </c>
      <c r="R206" s="5">
        <f>IF('App Log'!I206="","",'App Log'!I206)</f>
      </c>
      <c r="S206" s="5">
        <f>IF(AND('Actual Game'!I206="",'App Log'!I206=""),"",IF(TRIM('Actual Game'!I206&amp;"")=TRIM('App Log'!I206&amp;""),"MATCH","DIFF"))</f>
      </c>
      <c r="T206" s="5">
        <f>IF('Actual Game'!H206="","",'Actual Game'!H206)</f>
      </c>
      <c r="U206" s="5">
        <f>IF('App Log'!H206="","",'App Log'!H206)</f>
      </c>
      <c r="V206" s="5">
        <f>IF(AND('Actual Game'!H206="",'App Log'!H206=""),"",IF(TRIM('Actual Game'!H206&amp;"")=TRIM('App Log'!H206&amp;""),"MATCH","DIFF"))</f>
      </c>
      <c r="W206" s="5">
        <f>IF('Actual Game'!J206="","",'Actual Game'!J206)</f>
      </c>
      <c r="X206" s="5">
        <f>IF('App Log'!J206="","",'App Log'!J206)</f>
      </c>
      <c r="Y206" s="5">
        <f>IF(AND('Actual Game'!J206="",'App Log'!J206=""),"",IF(TRIM('Actual Game'!J206&amp;"")=TRIM('App Log'!J206&amp;""),"MATCH","DIFF"))</f>
      </c>
      <c r="Z206" s="5">
        <f>IF('Actual Game'!K206="","",'Actual Game'!K206)</f>
      </c>
      <c r="AA206" s="5">
        <f>IF('App Log'!K206="","",'App Log'!K206)</f>
      </c>
      <c r="AB206" s="5">
        <f>IF(AND('Actual Game'!K206="",'App Log'!K206=""),"",IF(TRIM('Actual Game'!K206&amp;"")=TRIM('App Log'!K206&amp;""),"MATCH","DIFF"))</f>
      </c>
      <c r="AC206" s="5">
        <f>IF(AND('Actual Game'!A206="",'App Log'!A206=""),"",IF(COUNTIF(D206:AB206,"DIFF")=0,"MATCH","CHECK"))</f>
      </c>
    </row>
    <row r="207" ht="19" customHeight="1">
      <c r="A207" s="5"/>
      <c r="B207" s="5">
        <f>IF('Actual Game'!B207="","",'Actual Game'!B207)</f>
      </c>
      <c r="C207" s="5">
        <f>IF('App Log'!B207="","",'App Log'!B207)</f>
      </c>
      <c r="D207" s="5">
        <f>IF(AND('Actual Game'!B207="",'App Log'!B207=""),"",IF(TRIM('Actual Game'!B207&amp;"")=TRIM('App Log'!B207&amp;""),"MATCH","DIFF"))</f>
      </c>
      <c r="E207" s="5">
        <f>IF('Actual Game'!C207="","",'Actual Game'!C207)</f>
      </c>
      <c r="F207" s="5">
        <f>IF('App Log'!C207="","",'App Log'!C207)</f>
      </c>
      <c r="G207" s="5">
        <f>IF(AND('Actual Game'!C207="",'App Log'!C207=""),"",IF(TRIM('Actual Game'!C207&amp;"")=TRIM('App Log'!C207&amp;""),"MATCH","DIFF"))</f>
      </c>
      <c r="H207" s="5">
        <f>IF('Actual Game'!D207="","",'Actual Game'!D207)</f>
      </c>
      <c r="I207" s="5">
        <f>IF('App Log'!D207="","",'App Log'!D207)</f>
      </c>
      <c r="J207" s="5">
        <f>IF(AND('Actual Game'!D207="",'App Log'!D207=""),"",IF(TRIM('Actual Game'!D207&amp;"")=TRIM('App Log'!D207&amp;""),"MATCH","DIFF"))</f>
      </c>
      <c r="K207" s="5">
        <f>IF('Actual Game'!E207="","",'Actual Game'!E207)</f>
      </c>
      <c r="L207" s="5">
        <f>IF('App Log'!E207="","",'App Log'!E207)</f>
      </c>
      <c r="M207" s="5">
        <f>IF(AND('Actual Game'!E207="",'App Log'!E207=""),"",IF(TRIM('Actual Game'!E207&amp;"")=TRIM('App Log'!E207&amp;""),"MATCH","DIFF"))</f>
      </c>
      <c r="N207" s="5">
        <f>IF('Actual Game'!F207="","",'Actual Game'!F207)</f>
      </c>
      <c r="O207" s="5">
        <f>IF('App Log'!F207="","",'App Log'!F207)</f>
      </c>
      <c r="P207" s="5">
        <f>IF(AND('Actual Game'!F207="",'App Log'!F207=""),"",IF(TRIM('Actual Game'!F207&amp;"")=TRIM('App Log'!F207&amp;""),"MATCH","DIFF"))</f>
      </c>
      <c r="Q207" s="5">
        <f>IF('Actual Game'!I207="","",'Actual Game'!I207)</f>
      </c>
      <c r="R207" s="5">
        <f>IF('App Log'!I207="","",'App Log'!I207)</f>
      </c>
      <c r="S207" s="5">
        <f>IF(AND('Actual Game'!I207="",'App Log'!I207=""),"",IF(TRIM('Actual Game'!I207&amp;"")=TRIM('App Log'!I207&amp;""),"MATCH","DIFF"))</f>
      </c>
      <c r="T207" s="5">
        <f>IF('Actual Game'!H207="","",'Actual Game'!H207)</f>
      </c>
      <c r="U207" s="5">
        <f>IF('App Log'!H207="","",'App Log'!H207)</f>
      </c>
      <c r="V207" s="5">
        <f>IF(AND('Actual Game'!H207="",'App Log'!H207=""),"",IF(TRIM('Actual Game'!H207&amp;"")=TRIM('App Log'!H207&amp;""),"MATCH","DIFF"))</f>
      </c>
      <c r="W207" s="5">
        <f>IF('Actual Game'!J207="","",'Actual Game'!J207)</f>
      </c>
      <c r="X207" s="5">
        <f>IF('App Log'!J207="","",'App Log'!J207)</f>
      </c>
      <c r="Y207" s="5">
        <f>IF(AND('Actual Game'!J207="",'App Log'!J207=""),"",IF(TRIM('Actual Game'!J207&amp;"")=TRIM('App Log'!J207&amp;""),"MATCH","DIFF"))</f>
      </c>
      <c r="Z207" s="5">
        <f>IF('Actual Game'!K207="","",'Actual Game'!K207)</f>
      </c>
      <c r="AA207" s="5">
        <f>IF('App Log'!K207="","",'App Log'!K207)</f>
      </c>
      <c r="AB207" s="5">
        <f>IF(AND('Actual Game'!K207="",'App Log'!K207=""),"",IF(TRIM('Actual Game'!K207&amp;"")=TRIM('App Log'!K207&amp;""),"MATCH","DIFF"))</f>
      </c>
      <c r="AC207" s="5">
        <f>IF(AND('Actual Game'!A207="",'App Log'!A207=""),"",IF(COUNTIF(D207:AB207,"DIFF")=0,"MATCH","CHECK"))</f>
      </c>
    </row>
    <row r="208" ht="19" customHeight="1">
      <c r="A208" s="5"/>
      <c r="B208" s="5">
        <f>IF('Actual Game'!B208="","",'Actual Game'!B208)</f>
      </c>
      <c r="C208" s="5">
        <f>IF('App Log'!B208="","",'App Log'!B208)</f>
      </c>
      <c r="D208" s="5">
        <f>IF(AND('Actual Game'!B208="",'App Log'!B208=""),"",IF(TRIM('Actual Game'!B208&amp;"")=TRIM('App Log'!B208&amp;""),"MATCH","DIFF"))</f>
      </c>
      <c r="E208" s="5">
        <f>IF('Actual Game'!C208="","",'Actual Game'!C208)</f>
      </c>
      <c r="F208" s="5">
        <f>IF('App Log'!C208="","",'App Log'!C208)</f>
      </c>
      <c r="G208" s="5">
        <f>IF(AND('Actual Game'!C208="",'App Log'!C208=""),"",IF(TRIM('Actual Game'!C208&amp;"")=TRIM('App Log'!C208&amp;""),"MATCH","DIFF"))</f>
      </c>
      <c r="H208" s="5">
        <f>IF('Actual Game'!D208="","",'Actual Game'!D208)</f>
      </c>
      <c r="I208" s="5">
        <f>IF('App Log'!D208="","",'App Log'!D208)</f>
      </c>
      <c r="J208" s="5">
        <f>IF(AND('Actual Game'!D208="",'App Log'!D208=""),"",IF(TRIM('Actual Game'!D208&amp;"")=TRIM('App Log'!D208&amp;""),"MATCH","DIFF"))</f>
      </c>
      <c r="K208" s="5">
        <f>IF('Actual Game'!E208="","",'Actual Game'!E208)</f>
      </c>
      <c r="L208" s="5">
        <f>IF('App Log'!E208="","",'App Log'!E208)</f>
      </c>
      <c r="M208" s="5">
        <f>IF(AND('Actual Game'!E208="",'App Log'!E208=""),"",IF(TRIM('Actual Game'!E208&amp;"")=TRIM('App Log'!E208&amp;""),"MATCH","DIFF"))</f>
      </c>
      <c r="N208" s="5">
        <f>IF('Actual Game'!F208="","",'Actual Game'!F208)</f>
      </c>
      <c r="O208" s="5">
        <f>IF('App Log'!F208="","",'App Log'!F208)</f>
      </c>
      <c r="P208" s="5">
        <f>IF(AND('Actual Game'!F208="",'App Log'!F208=""),"",IF(TRIM('Actual Game'!F208&amp;"")=TRIM('App Log'!F208&amp;""),"MATCH","DIFF"))</f>
      </c>
      <c r="Q208" s="5">
        <f>IF('Actual Game'!I208="","",'Actual Game'!I208)</f>
      </c>
      <c r="R208" s="5">
        <f>IF('App Log'!I208="","",'App Log'!I208)</f>
      </c>
      <c r="S208" s="5">
        <f>IF(AND('Actual Game'!I208="",'App Log'!I208=""),"",IF(TRIM('Actual Game'!I208&amp;"")=TRIM('App Log'!I208&amp;""),"MATCH","DIFF"))</f>
      </c>
      <c r="T208" s="5">
        <f>IF('Actual Game'!H208="","",'Actual Game'!H208)</f>
      </c>
      <c r="U208" s="5">
        <f>IF('App Log'!H208="","",'App Log'!H208)</f>
      </c>
      <c r="V208" s="5">
        <f>IF(AND('Actual Game'!H208="",'App Log'!H208=""),"",IF(TRIM('Actual Game'!H208&amp;"")=TRIM('App Log'!H208&amp;""),"MATCH","DIFF"))</f>
      </c>
      <c r="W208" s="5">
        <f>IF('Actual Game'!J208="","",'Actual Game'!J208)</f>
      </c>
      <c r="X208" s="5">
        <f>IF('App Log'!J208="","",'App Log'!J208)</f>
      </c>
      <c r="Y208" s="5">
        <f>IF(AND('Actual Game'!J208="",'App Log'!J208=""),"",IF(TRIM('Actual Game'!J208&amp;"")=TRIM('App Log'!J208&amp;""),"MATCH","DIFF"))</f>
      </c>
      <c r="Z208" s="5">
        <f>IF('Actual Game'!K208="","",'Actual Game'!K208)</f>
      </c>
      <c r="AA208" s="5">
        <f>IF('App Log'!K208="","",'App Log'!K208)</f>
      </c>
      <c r="AB208" s="5">
        <f>IF(AND('Actual Game'!K208="",'App Log'!K208=""),"",IF(TRIM('Actual Game'!K208&amp;"")=TRIM('App Log'!K208&amp;""),"MATCH","DIFF"))</f>
      </c>
      <c r="AC208" s="5">
        <f>IF(AND('Actual Game'!A208="",'App Log'!A208=""),"",IF(COUNTIF(D208:AB208,"DIFF")=0,"MATCH","CHECK"))</f>
      </c>
    </row>
    <row r="209" ht="19" customHeight="1">
      <c r="A209" s="5"/>
      <c r="B209" s="5">
        <f>IF('Actual Game'!B209="","",'Actual Game'!B209)</f>
      </c>
      <c r="C209" s="5">
        <f>IF('App Log'!B209="","",'App Log'!B209)</f>
      </c>
      <c r="D209" s="5">
        <f>IF(AND('Actual Game'!B209="",'App Log'!B209=""),"",IF(TRIM('Actual Game'!B209&amp;"")=TRIM('App Log'!B209&amp;""),"MATCH","DIFF"))</f>
      </c>
      <c r="E209" s="5">
        <f>IF('Actual Game'!C209="","",'Actual Game'!C209)</f>
      </c>
      <c r="F209" s="5">
        <f>IF('App Log'!C209="","",'App Log'!C209)</f>
      </c>
      <c r="G209" s="5">
        <f>IF(AND('Actual Game'!C209="",'App Log'!C209=""),"",IF(TRIM('Actual Game'!C209&amp;"")=TRIM('App Log'!C209&amp;""),"MATCH","DIFF"))</f>
      </c>
      <c r="H209" s="5">
        <f>IF('Actual Game'!D209="","",'Actual Game'!D209)</f>
      </c>
      <c r="I209" s="5">
        <f>IF('App Log'!D209="","",'App Log'!D209)</f>
      </c>
      <c r="J209" s="5">
        <f>IF(AND('Actual Game'!D209="",'App Log'!D209=""),"",IF(TRIM('Actual Game'!D209&amp;"")=TRIM('App Log'!D209&amp;""),"MATCH","DIFF"))</f>
      </c>
      <c r="K209" s="5">
        <f>IF('Actual Game'!E209="","",'Actual Game'!E209)</f>
      </c>
      <c r="L209" s="5">
        <f>IF('App Log'!E209="","",'App Log'!E209)</f>
      </c>
      <c r="M209" s="5">
        <f>IF(AND('Actual Game'!E209="",'App Log'!E209=""),"",IF(TRIM('Actual Game'!E209&amp;"")=TRIM('App Log'!E209&amp;""),"MATCH","DIFF"))</f>
      </c>
      <c r="N209" s="5">
        <f>IF('Actual Game'!F209="","",'Actual Game'!F209)</f>
      </c>
      <c r="O209" s="5">
        <f>IF('App Log'!F209="","",'App Log'!F209)</f>
      </c>
      <c r="P209" s="5">
        <f>IF(AND('Actual Game'!F209="",'App Log'!F209=""),"",IF(TRIM('Actual Game'!F209&amp;"")=TRIM('App Log'!F209&amp;""),"MATCH","DIFF"))</f>
      </c>
      <c r="Q209" s="5">
        <f>IF('Actual Game'!I209="","",'Actual Game'!I209)</f>
      </c>
      <c r="R209" s="5">
        <f>IF('App Log'!I209="","",'App Log'!I209)</f>
      </c>
      <c r="S209" s="5">
        <f>IF(AND('Actual Game'!I209="",'App Log'!I209=""),"",IF(TRIM('Actual Game'!I209&amp;"")=TRIM('App Log'!I209&amp;""),"MATCH","DIFF"))</f>
      </c>
      <c r="T209" s="5">
        <f>IF('Actual Game'!H209="","",'Actual Game'!H209)</f>
      </c>
      <c r="U209" s="5">
        <f>IF('App Log'!H209="","",'App Log'!H209)</f>
      </c>
      <c r="V209" s="5">
        <f>IF(AND('Actual Game'!H209="",'App Log'!H209=""),"",IF(TRIM('Actual Game'!H209&amp;"")=TRIM('App Log'!H209&amp;""),"MATCH","DIFF"))</f>
      </c>
      <c r="W209" s="5">
        <f>IF('Actual Game'!J209="","",'Actual Game'!J209)</f>
      </c>
      <c r="X209" s="5">
        <f>IF('App Log'!J209="","",'App Log'!J209)</f>
      </c>
      <c r="Y209" s="5">
        <f>IF(AND('Actual Game'!J209="",'App Log'!J209=""),"",IF(TRIM('Actual Game'!J209&amp;"")=TRIM('App Log'!J209&amp;""),"MATCH","DIFF"))</f>
      </c>
      <c r="Z209" s="5">
        <f>IF('Actual Game'!K209="","",'Actual Game'!K209)</f>
      </c>
      <c r="AA209" s="5">
        <f>IF('App Log'!K209="","",'App Log'!K209)</f>
      </c>
      <c r="AB209" s="5">
        <f>IF(AND('Actual Game'!K209="",'App Log'!K209=""),"",IF(TRIM('Actual Game'!K209&amp;"")=TRIM('App Log'!K209&amp;""),"MATCH","DIFF"))</f>
      </c>
      <c r="AC209" s="5">
        <f>IF(AND('Actual Game'!A209="",'App Log'!A209=""),"",IF(COUNTIF(D209:AB209,"DIFF")=0,"MATCH","CHECK"))</f>
      </c>
    </row>
    <row r="210" ht="19" customHeight="1">
      <c r="A210" s="5"/>
      <c r="B210" s="5">
        <f>IF('Actual Game'!B210="","",'Actual Game'!B210)</f>
      </c>
      <c r="C210" s="5">
        <f>IF('App Log'!B210="","",'App Log'!B210)</f>
      </c>
      <c r="D210" s="5">
        <f>IF(AND('Actual Game'!B210="",'App Log'!B210=""),"",IF(TRIM('Actual Game'!B210&amp;"")=TRIM('App Log'!B210&amp;""),"MATCH","DIFF"))</f>
      </c>
      <c r="E210" s="5">
        <f>IF('Actual Game'!C210="","",'Actual Game'!C210)</f>
      </c>
      <c r="F210" s="5">
        <f>IF('App Log'!C210="","",'App Log'!C210)</f>
      </c>
      <c r="G210" s="5">
        <f>IF(AND('Actual Game'!C210="",'App Log'!C210=""),"",IF(TRIM('Actual Game'!C210&amp;"")=TRIM('App Log'!C210&amp;""),"MATCH","DIFF"))</f>
      </c>
      <c r="H210" s="5">
        <f>IF('Actual Game'!D210="","",'Actual Game'!D210)</f>
      </c>
      <c r="I210" s="5">
        <f>IF('App Log'!D210="","",'App Log'!D210)</f>
      </c>
      <c r="J210" s="5">
        <f>IF(AND('Actual Game'!D210="",'App Log'!D210=""),"",IF(TRIM('Actual Game'!D210&amp;"")=TRIM('App Log'!D210&amp;""),"MATCH","DIFF"))</f>
      </c>
      <c r="K210" s="5">
        <f>IF('Actual Game'!E210="","",'Actual Game'!E210)</f>
      </c>
      <c r="L210" s="5">
        <f>IF('App Log'!E210="","",'App Log'!E210)</f>
      </c>
      <c r="M210" s="5">
        <f>IF(AND('Actual Game'!E210="",'App Log'!E210=""),"",IF(TRIM('Actual Game'!E210&amp;"")=TRIM('App Log'!E210&amp;""),"MATCH","DIFF"))</f>
      </c>
      <c r="N210" s="5">
        <f>IF('Actual Game'!F210="","",'Actual Game'!F210)</f>
      </c>
      <c r="O210" s="5">
        <f>IF('App Log'!F210="","",'App Log'!F210)</f>
      </c>
      <c r="P210" s="5">
        <f>IF(AND('Actual Game'!F210="",'App Log'!F210=""),"",IF(TRIM('Actual Game'!F210&amp;"")=TRIM('App Log'!F210&amp;""),"MATCH","DIFF"))</f>
      </c>
      <c r="Q210" s="5">
        <f>IF('Actual Game'!I210="","",'Actual Game'!I210)</f>
      </c>
      <c r="R210" s="5">
        <f>IF('App Log'!I210="","",'App Log'!I210)</f>
      </c>
      <c r="S210" s="5">
        <f>IF(AND('Actual Game'!I210="",'App Log'!I210=""),"",IF(TRIM('Actual Game'!I210&amp;"")=TRIM('App Log'!I210&amp;""),"MATCH","DIFF"))</f>
      </c>
      <c r="T210" s="5">
        <f>IF('Actual Game'!H210="","",'Actual Game'!H210)</f>
      </c>
      <c r="U210" s="5">
        <f>IF('App Log'!H210="","",'App Log'!H210)</f>
      </c>
      <c r="V210" s="5">
        <f>IF(AND('Actual Game'!H210="",'App Log'!H210=""),"",IF(TRIM('Actual Game'!H210&amp;"")=TRIM('App Log'!H210&amp;""),"MATCH","DIFF"))</f>
      </c>
      <c r="W210" s="5">
        <f>IF('Actual Game'!J210="","",'Actual Game'!J210)</f>
      </c>
      <c r="X210" s="5">
        <f>IF('App Log'!J210="","",'App Log'!J210)</f>
      </c>
      <c r="Y210" s="5">
        <f>IF(AND('Actual Game'!J210="",'App Log'!J210=""),"",IF(TRIM('Actual Game'!J210&amp;"")=TRIM('App Log'!J210&amp;""),"MATCH","DIFF"))</f>
      </c>
      <c r="Z210" s="5">
        <f>IF('Actual Game'!K210="","",'Actual Game'!K210)</f>
      </c>
      <c r="AA210" s="5">
        <f>IF('App Log'!K210="","",'App Log'!K210)</f>
      </c>
      <c r="AB210" s="5">
        <f>IF(AND('Actual Game'!K210="",'App Log'!K210=""),"",IF(TRIM('Actual Game'!K210&amp;"")=TRIM('App Log'!K210&amp;""),"MATCH","DIFF"))</f>
      </c>
      <c r="AC210" s="5">
        <f>IF(AND('Actual Game'!A210="",'App Log'!A210=""),"",IF(COUNTIF(D210:AB210,"DIFF")=0,"MATCH","CHECK"))</f>
      </c>
    </row>
    <row r="211" ht="19" customHeight="1">
      <c r="A211" s="5"/>
      <c r="B211" s="5">
        <f>IF('Actual Game'!B211="","",'Actual Game'!B211)</f>
      </c>
      <c r="C211" s="5">
        <f>IF('App Log'!B211="","",'App Log'!B211)</f>
      </c>
      <c r="D211" s="5">
        <f>IF(AND('Actual Game'!B211="",'App Log'!B211=""),"",IF(TRIM('Actual Game'!B211&amp;"")=TRIM('App Log'!B211&amp;""),"MATCH","DIFF"))</f>
      </c>
      <c r="E211" s="5">
        <f>IF('Actual Game'!C211="","",'Actual Game'!C211)</f>
      </c>
      <c r="F211" s="5">
        <f>IF('App Log'!C211="","",'App Log'!C211)</f>
      </c>
      <c r="G211" s="5">
        <f>IF(AND('Actual Game'!C211="",'App Log'!C211=""),"",IF(TRIM('Actual Game'!C211&amp;"")=TRIM('App Log'!C211&amp;""),"MATCH","DIFF"))</f>
      </c>
      <c r="H211" s="5">
        <f>IF('Actual Game'!D211="","",'Actual Game'!D211)</f>
      </c>
      <c r="I211" s="5">
        <f>IF('App Log'!D211="","",'App Log'!D211)</f>
      </c>
      <c r="J211" s="5">
        <f>IF(AND('Actual Game'!D211="",'App Log'!D211=""),"",IF(TRIM('Actual Game'!D211&amp;"")=TRIM('App Log'!D211&amp;""),"MATCH","DIFF"))</f>
      </c>
      <c r="K211" s="5">
        <f>IF('Actual Game'!E211="","",'Actual Game'!E211)</f>
      </c>
      <c r="L211" s="5">
        <f>IF('App Log'!E211="","",'App Log'!E211)</f>
      </c>
      <c r="M211" s="5">
        <f>IF(AND('Actual Game'!E211="",'App Log'!E211=""),"",IF(TRIM('Actual Game'!E211&amp;"")=TRIM('App Log'!E211&amp;""),"MATCH","DIFF"))</f>
      </c>
      <c r="N211" s="5">
        <f>IF('Actual Game'!F211="","",'Actual Game'!F211)</f>
      </c>
      <c r="O211" s="5">
        <f>IF('App Log'!F211="","",'App Log'!F211)</f>
      </c>
      <c r="P211" s="5">
        <f>IF(AND('Actual Game'!F211="",'App Log'!F211=""),"",IF(TRIM('Actual Game'!F211&amp;"")=TRIM('App Log'!F211&amp;""),"MATCH","DIFF"))</f>
      </c>
      <c r="Q211" s="5">
        <f>IF('Actual Game'!I211="","",'Actual Game'!I211)</f>
      </c>
      <c r="R211" s="5">
        <f>IF('App Log'!I211="","",'App Log'!I211)</f>
      </c>
      <c r="S211" s="5">
        <f>IF(AND('Actual Game'!I211="",'App Log'!I211=""),"",IF(TRIM('Actual Game'!I211&amp;"")=TRIM('App Log'!I211&amp;""),"MATCH","DIFF"))</f>
      </c>
      <c r="T211" s="5">
        <f>IF('Actual Game'!H211="","",'Actual Game'!H211)</f>
      </c>
      <c r="U211" s="5">
        <f>IF('App Log'!H211="","",'App Log'!H211)</f>
      </c>
      <c r="V211" s="5">
        <f>IF(AND('Actual Game'!H211="",'App Log'!H211=""),"",IF(TRIM('Actual Game'!H211&amp;"")=TRIM('App Log'!H211&amp;""),"MATCH","DIFF"))</f>
      </c>
      <c r="W211" s="5">
        <f>IF('Actual Game'!J211="","",'Actual Game'!J211)</f>
      </c>
      <c r="X211" s="5">
        <f>IF('App Log'!J211="","",'App Log'!J211)</f>
      </c>
      <c r="Y211" s="5">
        <f>IF(AND('Actual Game'!J211="",'App Log'!J211=""),"",IF(TRIM('Actual Game'!J211&amp;"")=TRIM('App Log'!J211&amp;""),"MATCH","DIFF"))</f>
      </c>
      <c r="Z211" s="5">
        <f>IF('Actual Game'!K211="","",'Actual Game'!K211)</f>
      </c>
      <c r="AA211" s="5">
        <f>IF('App Log'!K211="","",'App Log'!K211)</f>
      </c>
      <c r="AB211" s="5">
        <f>IF(AND('Actual Game'!K211="",'App Log'!K211=""),"",IF(TRIM('Actual Game'!K211&amp;"")=TRIM('App Log'!K211&amp;""),"MATCH","DIFF"))</f>
      </c>
      <c r="AC211" s="5">
        <f>IF(AND('Actual Game'!A211="",'App Log'!A211=""),"",IF(COUNTIF(D211:AB211,"DIFF")=0,"MATCH","CHECK"))</f>
      </c>
    </row>
    <row r="212" ht="19" customHeight="1">
      <c r="A212" s="5"/>
      <c r="B212" s="5">
        <f>IF('Actual Game'!B212="","",'Actual Game'!B212)</f>
      </c>
      <c r="C212" s="5">
        <f>IF('App Log'!B212="","",'App Log'!B212)</f>
      </c>
      <c r="D212" s="5">
        <f>IF(AND('Actual Game'!B212="",'App Log'!B212=""),"",IF(TRIM('Actual Game'!B212&amp;"")=TRIM('App Log'!B212&amp;""),"MATCH","DIFF"))</f>
      </c>
      <c r="E212" s="5">
        <f>IF('Actual Game'!C212="","",'Actual Game'!C212)</f>
      </c>
      <c r="F212" s="5">
        <f>IF('App Log'!C212="","",'App Log'!C212)</f>
      </c>
      <c r="G212" s="5">
        <f>IF(AND('Actual Game'!C212="",'App Log'!C212=""),"",IF(TRIM('Actual Game'!C212&amp;"")=TRIM('App Log'!C212&amp;""),"MATCH","DIFF"))</f>
      </c>
      <c r="H212" s="5">
        <f>IF('Actual Game'!D212="","",'Actual Game'!D212)</f>
      </c>
      <c r="I212" s="5">
        <f>IF('App Log'!D212="","",'App Log'!D212)</f>
      </c>
      <c r="J212" s="5">
        <f>IF(AND('Actual Game'!D212="",'App Log'!D212=""),"",IF(TRIM('Actual Game'!D212&amp;"")=TRIM('App Log'!D212&amp;""),"MATCH","DIFF"))</f>
      </c>
      <c r="K212" s="5">
        <f>IF('Actual Game'!E212="","",'Actual Game'!E212)</f>
      </c>
      <c r="L212" s="5">
        <f>IF('App Log'!E212="","",'App Log'!E212)</f>
      </c>
      <c r="M212" s="5">
        <f>IF(AND('Actual Game'!E212="",'App Log'!E212=""),"",IF(TRIM('Actual Game'!E212&amp;"")=TRIM('App Log'!E212&amp;""),"MATCH","DIFF"))</f>
      </c>
      <c r="N212" s="5">
        <f>IF('Actual Game'!F212="","",'Actual Game'!F212)</f>
      </c>
      <c r="O212" s="5">
        <f>IF('App Log'!F212="","",'App Log'!F212)</f>
      </c>
      <c r="P212" s="5">
        <f>IF(AND('Actual Game'!F212="",'App Log'!F212=""),"",IF(TRIM('Actual Game'!F212&amp;"")=TRIM('App Log'!F212&amp;""),"MATCH","DIFF"))</f>
      </c>
      <c r="Q212" s="5">
        <f>IF('Actual Game'!I212="","",'Actual Game'!I212)</f>
      </c>
      <c r="R212" s="5">
        <f>IF('App Log'!I212="","",'App Log'!I212)</f>
      </c>
      <c r="S212" s="5">
        <f>IF(AND('Actual Game'!I212="",'App Log'!I212=""),"",IF(TRIM('Actual Game'!I212&amp;"")=TRIM('App Log'!I212&amp;""),"MATCH","DIFF"))</f>
      </c>
      <c r="T212" s="5">
        <f>IF('Actual Game'!H212="","",'Actual Game'!H212)</f>
      </c>
      <c r="U212" s="5">
        <f>IF('App Log'!H212="","",'App Log'!H212)</f>
      </c>
      <c r="V212" s="5">
        <f>IF(AND('Actual Game'!H212="",'App Log'!H212=""),"",IF(TRIM('Actual Game'!H212&amp;"")=TRIM('App Log'!H212&amp;""),"MATCH","DIFF"))</f>
      </c>
      <c r="W212" s="5">
        <f>IF('Actual Game'!J212="","",'Actual Game'!J212)</f>
      </c>
      <c r="X212" s="5">
        <f>IF('App Log'!J212="","",'App Log'!J212)</f>
      </c>
      <c r="Y212" s="5">
        <f>IF(AND('Actual Game'!J212="",'App Log'!J212=""),"",IF(TRIM('Actual Game'!J212&amp;"")=TRIM('App Log'!J212&amp;""),"MATCH","DIFF"))</f>
      </c>
      <c r="Z212" s="5">
        <f>IF('Actual Game'!K212="","",'Actual Game'!K212)</f>
      </c>
      <c r="AA212" s="5">
        <f>IF('App Log'!K212="","",'App Log'!K212)</f>
      </c>
      <c r="AB212" s="5">
        <f>IF(AND('Actual Game'!K212="",'App Log'!K212=""),"",IF(TRIM('Actual Game'!K212&amp;"")=TRIM('App Log'!K212&amp;""),"MATCH","DIFF"))</f>
      </c>
      <c r="AC212" s="5">
        <f>IF(AND('Actual Game'!A212="",'App Log'!A212=""),"",IF(COUNTIF(D212:AB212,"DIFF")=0,"MATCH","CHECK"))</f>
      </c>
    </row>
    <row r="213" ht="19" customHeight="1">
      <c r="A213" s="5"/>
      <c r="B213" s="5">
        <f>IF('Actual Game'!B213="","",'Actual Game'!B213)</f>
      </c>
      <c r="C213" s="5">
        <f>IF('App Log'!B213="","",'App Log'!B213)</f>
      </c>
      <c r="D213" s="5">
        <f>IF(AND('Actual Game'!B213="",'App Log'!B213=""),"",IF(TRIM('Actual Game'!B213&amp;"")=TRIM('App Log'!B213&amp;""),"MATCH","DIFF"))</f>
      </c>
      <c r="E213" s="5">
        <f>IF('Actual Game'!C213="","",'Actual Game'!C213)</f>
      </c>
      <c r="F213" s="5">
        <f>IF('App Log'!C213="","",'App Log'!C213)</f>
      </c>
      <c r="G213" s="5">
        <f>IF(AND('Actual Game'!C213="",'App Log'!C213=""),"",IF(TRIM('Actual Game'!C213&amp;"")=TRIM('App Log'!C213&amp;""),"MATCH","DIFF"))</f>
      </c>
      <c r="H213" s="5">
        <f>IF('Actual Game'!D213="","",'Actual Game'!D213)</f>
      </c>
      <c r="I213" s="5">
        <f>IF('App Log'!D213="","",'App Log'!D213)</f>
      </c>
      <c r="J213" s="5">
        <f>IF(AND('Actual Game'!D213="",'App Log'!D213=""),"",IF(TRIM('Actual Game'!D213&amp;"")=TRIM('App Log'!D213&amp;""),"MATCH","DIFF"))</f>
      </c>
      <c r="K213" s="5">
        <f>IF('Actual Game'!E213="","",'Actual Game'!E213)</f>
      </c>
      <c r="L213" s="5">
        <f>IF('App Log'!E213="","",'App Log'!E213)</f>
      </c>
      <c r="M213" s="5">
        <f>IF(AND('Actual Game'!E213="",'App Log'!E213=""),"",IF(TRIM('Actual Game'!E213&amp;"")=TRIM('App Log'!E213&amp;""),"MATCH","DIFF"))</f>
      </c>
      <c r="N213" s="5">
        <f>IF('Actual Game'!F213="","",'Actual Game'!F213)</f>
      </c>
      <c r="O213" s="5">
        <f>IF('App Log'!F213="","",'App Log'!F213)</f>
      </c>
      <c r="P213" s="5">
        <f>IF(AND('Actual Game'!F213="",'App Log'!F213=""),"",IF(TRIM('Actual Game'!F213&amp;"")=TRIM('App Log'!F213&amp;""),"MATCH","DIFF"))</f>
      </c>
      <c r="Q213" s="5">
        <f>IF('Actual Game'!I213="","",'Actual Game'!I213)</f>
      </c>
      <c r="R213" s="5">
        <f>IF('App Log'!I213="","",'App Log'!I213)</f>
      </c>
      <c r="S213" s="5">
        <f>IF(AND('Actual Game'!I213="",'App Log'!I213=""),"",IF(TRIM('Actual Game'!I213&amp;"")=TRIM('App Log'!I213&amp;""),"MATCH","DIFF"))</f>
      </c>
      <c r="T213" s="5">
        <f>IF('Actual Game'!H213="","",'Actual Game'!H213)</f>
      </c>
      <c r="U213" s="5">
        <f>IF('App Log'!H213="","",'App Log'!H213)</f>
      </c>
      <c r="V213" s="5">
        <f>IF(AND('Actual Game'!H213="",'App Log'!H213=""),"",IF(TRIM('Actual Game'!H213&amp;"")=TRIM('App Log'!H213&amp;""),"MATCH","DIFF"))</f>
      </c>
      <c r="W213" s="5">
        <f>IF('Actual Game'!J213="","",'Actual Game'!J213)</f>
      </c>
      <c r="X213" s="5">
        <f>IF('App Log'!J213="","",'App Log'!J213)</f>
      </c>
      <c r="Y213" s="5">
        <f>IF(AND('Actual Game'!J213="",'App Log'!J213=""),"",IF(TRIM('Actual Game'!J213&amp;"")=TRIM('App Log'!J213&amp;""),"MATCH","DIFF"))</f>
      </c>
      <c r="Z213" s="5">
        <f>IF('Actual Game'!K213="","",'Actual Game'!K213)</f>
      </c>
      <c r="AA213" s="5">
        <f>IF('App Log'!K213="","",'App Log'!K213)</f>
      </c>
      <c r="AB213" s="5">
        <f>IF(AND('Actual Game'!K213="",'App Log'!K213=""),"",IF(TRIM('Actual Game'!K213&amp;"")=TRIM('App Log'!K213&amp;""),"MATCH","DIFF"))</f>
      </c>
      <c r="AC213" s="5">
        <f>IF(AND('Actual Game'!A213="",'App Log'!A213=""),"",IF(COUNTIF(D213:AB213,"DIFF")=0,"MATCH","CHECK"))</f>
      </c>
    </row>
    <row r="214" ht="19" customHeight="1">
      <c r="A214" s="5"/>
      <c r="B214" s="5">
        <f>IF('Actual Game'!B214="","",'Actual Game'!B214)</f>
      </c>
      <c r="C214" s="5">
        <f>IF('App Log'!B214="","",'App Log'!B214)</f>
      </c>
      <c r="D214" s="5">
        <f>IF(AND('Actual Game'!B214="",'App Log'!B214=""),"",IF(TRIM('Actual Game'!B214&amp;"")=TRIM('App Log'!B214&amp;""),"MATCH","DIFF"))</f>
      </c>
      <c r="E214" s="5">
        <f>IF('Actual Game'!C214="","",'Actual Game'!C214)</f>
      </c>
      <c r="F214" s="5">
        <f>IF('App Log'!C214="","",'App Log'!C214)</f>
      </c>
      <c r="G214" s="5">
        <f>IF(AND('Actual Game'!C214="",'App Log'!C214=""),"",IF(TRIM('Actual Game'!C214&amp;"")=TRIM('App Log'!C214&amp;""),"MATCH","DIFF"))</f>
      </c>
      <c r="H214" s="5">
        <f>IF('Actual Game'!D214="","",'Actual Game'!D214)</f>
      </c>
      <c r="I214" s="5">
        <f>IF('App Log'!D214="","",'App Log'!D214)</f>
      </c>
      <c r="J214" s="5">
        <f>IF(AND('Actual Game'!D214="",'App Log'!D214=""),"",IF(TRIM('Actual Game'!D214&amp;"")=TRIM('App Log'!D214&amp;""),"MATCH","DIFF"))</f>
      </c>
      <c r="K214" s="5">
        <f>IF('Actual Game'!E214="","",'Actual Game'!E214)</f>
      </c>
      <c r="L214" s="5">
        <f>IF('App Log'!E214="","",'App Log'!E214)</f>
      </c>
      <c r="M214" s="5">
        <f>IF(AND('Actual Game'!E214="",'App Log'!E214=""),"",IF(TRIM('Actual Game'!E214&amp;"")=TRIM('App Log'!E214&amp;""),"MATCH","DIFF"))</f>
      </c>
      <c r="N214" s="5">
        <f>IF('Actual Game'!F214="","",'Actual Game'!F214)</f>
      </c>
      <c r="O214" s="5">
        <f>IF('App Log'!F214="","",'App Log'!F214)</f>
      </c>
      <c r="P214" s="5">
        <f>IF(AND('Actual Game'!F214="",'App Log'!F214=""),"",IF(TRIM('Actual Game'!F214&amp;"")=TRIM('App Log'!F214&amp;""),"MATCH","DIFF"))</f>
      </c>
      <c r="Q214" s="5">
        <f>IF('Actual Game'!I214="","",'Actual Game'!I214)</f>
      </c>
      <c r="R214" s="5">
        <f>IF('App Log'!I214="","",'App Log'!I214)</f>
      </c>
      <c r="S214" s="5">
        <f>IF(AND('Actual Game'!I214="",'App Log'!I214=""),"",IF(TRIM('Actual Game'!I214&amp;"")=TRIM('App Log'!I214&amp;""),"MATCH","DIFF"))</f>
      </c>
      <c r="T214" s="5">
        <f>IF('Actual Game'!H214="","",'Actual Game'!H214)</f>
      </c>
      <c r="U214" s="5">
        <f>IF('App Log'!H214="","",'App Log'!H214)</f>
      </c>
      <c r="V214" s="5">
        <f>IF(AND('Actual Game'!H214="",'App Log'!H214=""),"",IF(TRIM('Actual Game'!H214&amp;"")=TRIM('App Log'!H214&amp;""),"MATCH","DIFF"))</f>
      </c>
      <c r="W214" s="5">
        <f>IF('Actual Game'!J214="","",'Actual Game'!J214)</f>
      </c>
      <c r="X214" s="5">
        <f>IF('App Log'!J214="","",'App Log'!J214)</f>
      </c>
      <c r="Y214" s="5">
        <f>IF(AND('Actual Game'!J214="",'App Log'!J214=""),"",IF(TRIM('Actual Game'!J214&amp;"")=TRIM('App Log'!J214&amp;""),"MATCH","DIFF"))</f>
      </c>
      <c r="Z214" s="5">
        <f>IF('Actual Game'!K214="","",'Actual Game'!K214)</f>
      </c>
      <c r="AA214" s="5">
        <f>IF('App Log'!K214="","",'App Log'!K214)</f>
      </c>
      <c r="AB214" s="5">
        <f>IF(AND('Actual Game'!K214="",'App Log'!K214=""),"",IF(TRIM('Actual Game'!K214&amp;"")=TRIM('App Log'!K214&amp;""),"MATCH","DIFF"))</f>
      </c>
      <c r="AC214" s="5">
        <f>IF(AND('Actual Game'!A214="",'App Log'!A214=""),"",IF(COUNTIF(D214:AB214,"DIFF")=0,"MATCH","CHECK"))</f>
      </c>
    </row>
    <row r="215" ht="19" customHeight="1">
      <c r="A215" s="5"/>
      <c r="B215" s="5">
        <f>IF('Actual Game'!B215="","",'Actual Game'!B215)</f>
      </c>
      <c r="C215" s="5">
        <f>IF('App Log'!B215="","",'App Log'!B215)</f>
      </c>
      <c r="D215" s="5">
        <f>IF(AND('Actual Game'!B215="",'App Log'!B215=""),"",IF(TRIM('Actual Game'!B215&amp;"")=TRIM('App Log'!B215&amp;""),"MATCH","DIFF"))</f>
      </c>
      <c r="E215" s="5">
        <f>IF('Actual Game'!C215="","",'Actual Game'!C215)</f>
      </c>
      <c r="F215" s="5">
        <f>IF('App Log'!C215="","",'App Log'!C215)</f>
      </c>
      <c r="G215" s="5">
        <f>IF(AND('Actual Game'!C215="",'App Log'!C215=""),"",IF(TRIM('Actual Game'!C215&amp;"")=TRIM('App Log'!C215&amp;""),"MATCH","DIFF"))</f>
      </c>
      <c r="H215" s="5">
        <f>IF('Actual Game'!D215="","",'Actual Game'!D215)</f>
      </c>
      <c r="I215" s="5">
        <f>IF('App Log'!D215="","",'App Log'!D215)</f>
      </c>
      <c r="J215" s="5">
        <f>IF(AND('Actual Game'!D215="",'App Log'!D215=""),"",IF(TRIM('Actual Game'!D215&amp;"")=TRIM('App Log'!D215&amp;""),"MATCH","DIFF"))</f>
      </c>
      <c r="K215" s="5">
        <f>IF('Actual Game'!E215="","",'Actual Game'!E215)</f>
      </c>
      <c r="L215" s="5">
        <f>IF('App Log'!E215="","",'App Log'!E215)</f>
      </c>
      <c r="M215" s="5">
        <f>IF(AND('Actual Game'!E215="",'App Log'!E215=""),"",IF(TRIM('Actual Game'!E215&amp;"")=TRIM('App Log'!E215&amp;""),"MATCH","DIFF"))</f>
      </c>
      <c r="N215" s="5">
        <f>IF('Actual Game'!F215="","",'Actual Game'!F215)</f>
      </c>
      <c r="O215" s="5">
        <f>IF('App Log'!F215="","",'App Log'!F215)</f>
      </c>
      <c r="P215" s="5">
        <f>IF(AND('Actual Game'!F215="",'App Log'!F215=""),"",IF(TRIM('Actual Game'!F215&amp;"")=TRIM('App Log'!F215&amp;""),"MATCH","DIFF"))</f>
      </c>
      <c r="Q215" s="5">
        <f>IF('Actual Game'!I215="","",'Actual Game'!I215)</f>
      </c>
      <c r="R215" s="5">
        <f>IF('App Log'!I215="","",'App Log'!I215)</f>
      </c>
      <c r="S215" s="5">
        <f>IF(AND('Actual Game'!I215="",'App Log'!I215=""),"",IF(TRIM('Actual Game'!I215&amp;"")=TRIM('App Log'!I215&amp;""),"MATCH","DIFF"))</f>
      </c>
      <c r="T215" s="5">
        <f>IF('Actual Game'!H215="","",'Actual Game'!H215)</f>
      </c>
      <c r="U215" s="5">
        <f>IF('App Log'!H215="","",'App Log'!H215)</f>
      </c>
      <c r="V215" s="5">
        <f>IF(AND('Actual Game'!H215="",'App Log'!H215=""),"",IF(TRIM('Actual Game'!H215&amp;"")=TRIM('App Log'!H215&amp;""),"MATCH","DIFF"))</f>
      </c>
      <c r="W215" s="5">
        <f>IF('Actual Game'!J215="","",'Actual Game'!J215)</f>
      </c>
      <c r="X215" s="5">
        <f>IF('App Log'!J215="","",'App Log'!J215)</f>
      </c>
      <c r="Y215" s="5">
        <f>IF(AND('Actual Game'!J215="",'App Log'!J215=""),"",IF(TRIM('Actual Game'!J215&amp;"")=TRIM('App Log'!J215&amp;""),"MATCH","DIFF"))</f>
      </c>
      <c r="Z215" s="5">
        <f>IF('Actual Game'!K215="","",'Actual Game'!K215)</f>
      </c>
      <c r="AA215" s="5">
        <f>IF('App Log'!K215="","",'App Log'!K215)</f>
      </c>
      <c r="AB215" s="5">
        <f>IF(AND('Actual Game'!K215="",'App Log'!K215=""),"",IF(TRIM('Actual Game'!K215&amp;"")=TRIM('App Log'!K215&amp;""),"MATCH","DIFF"))</f>
      </c>
      <c r="AC215" s="5">
        <f>IF(AND('Actual Game'!A215="",'App Log'!A215=""),"",IF(COUNTIF(D215:AB215,"DIFF")=0,"MATCH","CHECK"))</f>
      </c>
    </row>
    <row r="216" ht="19" customHeight="1">
      <c r="A216" s="5"/>
      <c r="B216" s="5">
        <f>IF('Actual Game'!B216="","",'Actual Game'!B216)</f>
      </c>
      <c r="C216" s="5">
        <f>IF('App Log'!B216="","",'App Log'!B216)</f>
      </c>
      <c r="D216" s="5">
        <f>IF(AND('Actual Game'!B216="",'App Log'!B216=""),"",IF(TRIM('Actual Game'!B216&amp;"")=TRIM('App Log'!B216&amp;""),"MATCH","DIFF"))</f>
      </c>
      <c r="E216" s="5">
        <f>IF('Actual Game'!C216="","",'Actual Game'!C216)</f>
      </c>
      <c r="F216" s="5">
        <f>IF('App Log'!C216="","",'App Log'!C216)</f>
      </c>
      <c r="G216" s="5">
        <f>IF(AND('Actual Game'!C216="",'App Log'!C216=""),"",IF(TRIM('Actual Game'!C216&amp;"")=TRIM('App Log'!C216&amp;""),"MATCH","DIFF"))</f>
      </c>
      <c r="H216" s="5">
        <f>IF('Actual Game'!D216="","",'Actual Game'!D216)</f>
      </c>
      <c r="I216" s="5">
        <f>IF('App Log'!D216="","",'App Log'!D216)</f>
      </c>
      <c r="J216" s="5">
        <f>IF(AND('Actual Game'!D216="",'App Log'!D216=""),"",IF(TRIM('Actual Game'!D216&amp;"")=TRIM('App Log'!D216&amp;""),"MATCH","DIFF"))</f>
      </c>
      <c r="K216" s="5">
        <f>IF('Actual Game'!E216="","",'Actual Game'!E216)</f>
      </c>
      <c r="L216" s="5">
        <f>IF('App Log'!E216="","",'App Log'!E216)</f>
      </c>
      <c r="M216" s="5">
        <f>IF(AND('Actual Game'!E216="",'App Log'!E216=""),"",IF(TRIM('Actual Game'!E216&amp;"")=TRIM('App Log'!E216&amp;""),"MATCH","DIFF"))</f>
      </c>
      <c r="N216" s="5">
        <f>IF('Actual Game'!F216="","",'Actual Game'!F216)</f>
      </c>
      <c r="O216" s="5">
        <f>IF('App Log'!F216="","",'App Log'!F216)</f>
      </c>
      <c r="P216" s="5">
        <f>IF(AND('Actual Game'!F216="",'App Log'!F216=""),"",IF(TRIM('Actual Game'!F216&amp;"")=TRIM('App Log'!F216&amp;""),"MATCH","DIFF"))</f>
      </c>
      <c r="Q216" s="5">
        <f>IF('Actual Game'!I216="","",'Actual Game'!I216)</f>
      </c>
      <c r="R216" s="5">
        <f>IF('App Log'!I216="","",'App Log'!I216)</f>
      </c>
      <c r="S216" s="5">
        <f>IF(AND('Actual Game'!I216="",'App Log'!I216=""),"",IF(TRIM('Actual Game'!I216&amp;"")=TRIM('App Log'!I216&amp;""),"MATCH","DIFF"))</f>
      </c>
      <c r="T216" s="5">
        <f>IF('Actual Game'!H216="","",'Actual Game'!H216)</f>
      </c>
      <c r="U216" s="5">
        <f>IF('App Log'!H216="","",'App Log'!H216)</f>
      </c>
      <c r="V216" s="5">
        <f>IF(AND('Actual Game'!H216="",'App Log'!H216=""),"",IF(TRIM('Actual Game'!H216&amp;"")=TRIM('App Log'!H216&amp;""),"MATCH","DIFF"))</f>
      </c>
      <c r="W216" s="5">
        <f>IF('Actual Game'!J216="","",'Actual Game'!J216)</f>
      </c>
      <c r="X216" s="5">
        <f>IF('App Log'!J216="","",'App Log'!J216)</f>
      </c>
      <c r="Y216" s="5">
        <f>IF(AND('Actual Game'!J216="",'App Log'!J216=""),"",IF(TRIM('Actual Game'!J216&amp;"")=TRIM('App Log'!J216&amp;""),"MATCH","DIFF"))</f>
      </c>
      <c r="Z216" s="5">
        <f>IF('Actual Game'!K216="","",'Actual Game'!K216)</f>
      </c>
      <c r="AA216" s="5">
        <f>IF('App Log'!K216="","",'App Log'!K216)</f>
      </c>
      <c r="AB216" s="5">
        <f>IF(AND('Actual Game'!K216="",'App Log'!K216=""),"",IF(TRIM('Actual Game'!K216&amp;"")=TRIM('App Log'!K216&amp;""),"MATCH","DIFF"))</f>
      </c>
      <c r="AC216" s="5">
        <f>IF(AND('Actual Game'!A216="",'App Log'!A216=""),"",IF(COUNTIF(D216:AB216,"DIFF")=0,"MATCH","CHECK"))</f>
      </c>
    </row>
    <row r="217" ht="19" customHeight="1">
      <c r="A217" s="5"/>
      <c r="B217" s="5">
        <f>IF('Actual Game'!B217="","",'Actual Game'!B217)</f>
      </c>
      <c r="C217" s="5">
        <f>IF('App Log'!B217="","",'App Log'!B217)</f>
      </c>
      <c r="D217" s="5">
        <f>IF(AND('Actual Game'!B217="",'App Log'!B217=""),"",IF(TRIM('Actual Game'!B217&amp;"")=TRIM('App Log'!B217&amp;""),"MATCH","DIFF"))</f>
      </c>
      <c r="E217" s="5">
        <f>IF('Actual Game'!C217="","",'Actual Game'!C217)</f>
      </c>
      <c r="F217" s="5">
        <f>IF('App Log'!C217="","",'App Log'!C217)</f>
      </c>
      <c r="G217" s="5">
        <f>IF(AND('Actual Game'!C217="",'App Log'!C217=""),"",IF(TRIM('Actual Game'!C217&amp;"")=TRIM('App Log'!C217&amp;""),"MATCH","DIFF"))</f>
      </c>
      <c r="H217" s="5">
        <f>IF('Actual Game'!D217="","",'Actual Game'!D217)</f>
      </c>
      <c r="I217" s="5">
        <f>IF('App Log'!D217="","",'App Log'!D217)</f>
      </c>
      <c r="J217" s="5">
        <f>IF(AND('Actual Game'!D217="",'App Log'!D217=""),"",IF(TRIM('Actual Game'!D217&amp;"")=TRIM('App Log'!D217&amp;""),"MATCH","DIFF"))</f>
      </c>
      <c r="K217" s="5">
        <f>IF('Actual Game'!E217="","",'Actual Game'!E217)</f>
      </c>
      <c r="L217" s="5">
        <f>IF('App Log'!E217="","",'App Log'!E217)</f>
      </c>
      <c r="M217" s="5">
        <f>IF(AND('Actual Game'!E217="",'App Log'!E217=""),"",IF(TRIM('Actual Game'!E217&amp;"")=TRIM('App Log'!E217&amp;""),"MATCH","DIFF"))</f>
      </c>
      <c r="N217" s="5">
        <f>IF('Actual Game'!F217="","",'Actual Game'!F217)</f>
      </c>
      <c r="O217" s="5">
        <f>IF('App Log'!F217="","",'App Log'!F217)</f>
      </c>
      <c r="P217" s="5">
        <f>IF(AND('Actual Game'!F217="",'App Log'!F217=""),"",IF(TRIM('Actual Game'!F217&amp;"")=TRIM('App Log'!F217&amp;""),"MATCH","DIFF"))</f>
      </c>
      <c r="Q217" s="5">
        <f>IF('Actual Game'!I217="","",'Actual Game'!I217)</f>
      </c>
      <c r="R217" s="5">
        <f>IF('App Log'!I217="","",'App Log'!I217)</f>
      </c>
      <c r="S217" s="5">
        <f>IF(AND('Actual Game'!I217="",'App Log'!I217=""),"",IF(TRIM('Actual Game'!I217&amp;"")=TRIM('App Log'!I217&amp;""),"MATCH","DIFF"))</f>
      </c>
      <c r="T217" s="5">
        <f>IF('Actual Game'!H217="","",'Actual Game'!H217)</f>
      </c>
      <c r="U217" s="5">
        <f>IF('App Log'!H217="","",'App Log'!H217)</f>
      </c>
      <c r="V217" s="5">
        <f>IF(AND('Actual Game'!H217="",'App Log'!H217=""),"",IF(TRIM('Actual Game'!H217&amp;"")=TRIM('App Log'!H217&amp;""),"MATCH","DIFF"))</f>
      </c>
      <c r="W217" s="5">
        <f>IF('Actual Game'!J217="","",'Actual Game'!J217)</f>
      </c>
      <c r="X217" s="5">
        <f>IF('App Log'!J217="","",'App Log'!J217)</f>
      </c>
      <c r="Y217" s="5">
        <f>IF(AND('Actual Game'!J217="",'App Log'!J217=""),"",IF(TRIM('Actual Game'!J217&amp;"")=TRIM('App Log'!J217&amp;""),"MATCH","DIFF"))</f>
      </c>
      <c r="Z217" s="5">
        <f>IF('Actual Game'!K217="","",'Actual Game'!K217)</f>
      </c>
      <c r="AA217" s="5">
        <f>IF('App Log'!K217="","",'App Log'!K217)</f>
      </c>
      <c r="AB217" s="5">
        <f>IF(AND('Actual Game'!K217="",'App Log'!K217=""),"",IF(TRIM('Actual Game'!K217&amp;"")=TRIM('App Log'!K217&amp;""),"MATCH","DIFF"))</f>
      </c>
      <c r="AC217" s="5">
        <f>IF(AND('Actual Game'!A217="",'App Log'!A217=""),"",IF(COUNTIF(D217:AB217,"DIFF")=0,"MATCH","CHECK"))</f>
      </c>
    </row>
    <row r="218" ht="19" customHeight="1">
      <c r="A218" s="5"/>
      <c r="B218" s="5">
        <f>IF('Actual Game'!B218="","",'Actual Game'!B218)</f>
      </c>
      <c r="C218" s="5">
        <f>IF('App Log'!B218="","",'App Log'!B218)</f>
      </c>
      <c r="D218" s="5">
        <f>IF(AND('Actual Game'!B218="",'App Log'!B218=""),"",IF(TRIM('Actual Game'!B218&amp;"")=TRIM('App Log'!B218&amp;""),"MATCH","DIFF"))</f>
      </c>
      <c r="E218" s="5">
        <f>IF('Actual Game'!C218="","",'Actual Game'!C218)</f>
      </c>
      <c r="F218" s="5">
        <f>IF('App Log'!C218="","",'App Log'!C218)</f>
      </c>
      <c r="G218" s="5">
        <f>IF(AND('Actual Game'!C218="",'App Log'!C218=""),"",IF(TRIM('Actual Game'!C218&amp;"")=TRIM('App Log'!C218&amp;""),"MATCH","DIFF"))</f>
      </c>
      <c r="H218" s="5">
        <f>IF('Actual Game'!D218="","",'Actual Game'!D218)</f>
      </c>
      <c r="I218" s="5">
        <f>IF('App Log'!D218="","",'App Log'!D218)</f>
      </c>
      <c r="J218" s="5">
        <f>IF(AND('Actual Game'!D218="",'App Log'!D218=""),"",IF(TRIM('Actual Game'!D218&amp;"")=TRIM('App Log'!D218&amp;""),"MATCH","DIFF"))</f>
      </c>
      <c r="K218" s="5">
        <f>IF('Actual Game'!E218="","",'Actual Game'!E218)</f>
      </c>
      <c r="L218" s="5">
        <f>IF('App Log'!E218="","",'App Log'!E218)</f>
      </c>
      <c r="M218" s="5">
        <f>IF(AND('Actual Game'!E218="",'App Log'!E218=""),"",IF(TRIM('Actual Game'!E218&amp;"")=TRIM('App Log'!E218&amp;""),"MATCH","DIFF"))</f>
      </c>
      <c r="N218" s="5">
        <f>IF('Actual Game'!F218="","",'Actual Game'!F218)</f>
      </c>
      <c r="O218" s="5">
        <f>IF('App Log'!F218="","",'App Log'!F218)</f>
      </c>
      <c r="P218" s="5">
        <f>IF(AND('Actual Game'!F218="",'App Log'!F218=""),"",IF(TRIM('Actual Game'!F218&amp;"")=TRIM('App Log'!F218&amp;""),"MATCH","DIFF"))</f>
      </c>
      <c r="Q218" s="5">
        <f>IF('Actual Game'!I218="","",'Actual Game'!I218)</f>
      </c>
      <c r="R218" s="5">
        <f>IF('App Log'!I218="","",'App Log'!I218)</f>
      </c>
      <c r="S218" s="5">
        <f>IF(AND('Actual Game'!I218="",'App Log'!I218=""),"",IF(TRIM('Actual Game'!I218&amp;"")=TRIM('App Log'!I218&amp;""),"MATCH","DIFF"))</f>
      </c>
      <c r="T218" s="5">
        <f>IF('Actual Game'!H218="","",'Actual Game'!H218)</f>
      </c>
      <c r="U218" s="5">
        <f>IF('App Log'!H218="","",'App Log'!H218)</f>
      </c>
      <c r="V218" s="5">
        <f>IF(AND('Actual Game'!H218="",'App Log'!H218=""),"",IF(TRIM('Actual Game'!H218&amp;"")=TRIM('App Log'!H218&amp;""),"MATCH","DIFF"))</f>
      </c>
      <c r="W218" s="5">
        <f>IF('Actual Game'!J218="","",'Actual Game'!J218)</f>
      </c>
      <c r="X218" s="5">
        <f>IF('App Log'!J218="","",'App Log'!J218)</f>
      </c>
      <c r="Y218" s="5">
        <f>IF(AND('Actual Game'!J218="",'App Log'!J218=""),"",IF(TRIM('Actual Game'!J218&amp;"")=TRIM('App Log'!J218&amp;""),"MATCH","DIFF"))</f>
      </c>
      <c r="Z218" s="5">
        <f>IF('Actual Game'!K218="","",'Actual Game'!K218)</f>
      </c>
      <c r="AA218" s="5">
        <f>IF('App Log'!K218="","",'App Log'!K218)</f>
      </c>
      <c r="AB218" s="5">
        <f>IF(AND('Actual Game'!K218="",'App Log'!K218=""),"",IF(TRIM('Actual Game'!K218&amp;"")=TRIM('App Log'!K218&amp;""),"MATCH","DIFF"))</f>
      </c>
      <c r="AC218" s="5">
        <f>IF(AND('Actual Game'!A218="",'App Log'!A218=""),"",IF(COUNTIF(D218:AB218,"DIFF")=0,"MATCH","CHECK"))</f>
      </c>
    </row>
    <row r="219" ht="19" customHeight="1">
      <c r="A219" s="5"/>
      <c r="B219" s="5">
        <f>IF('Actual Game'!B219="","",'Actual Game'!B219)</f>
      </c>
      <c r="C219" s="5">
        <f>IF('App Log'!B219="","",'App Log'!B219)</f>
      </c>
      <c r="D219" s="5">
        <f>IF(AND('Actual Game'!B219="",'App Log'!B219=""),"",IF(TRIM('Actual Game'!B219&amp;"")=TRIM('App Log'!B219&amp;""),"MATCH","DIFF"))</f>
      </c>
      <c r="E219" s="5">
        <f>IF('Actual Game'!C219="","",'Actual Game'!C219)</f>
      </c>
      <c r="F219" s="5">
        <f>IF('App Log'!C219="","",'App Log'!C219)</f>
      </c>
      <c r="G219" s="5">
        <f>IF(AND('Actual Game'!C219="",'App Log'!C219=""),"",IF(TRIM('Actual Game'!C219&amp;"")=TRIM('App Log'!C219&amp;""),"MATCH","DIFF"))</f>
      </c>
      <c r="H219" s="5">
        <f>IF('Actual Game'!D219="","",'Actual Game'!D219)</f>
      </c>
      <c r="I219" s="5">
        <f>IF('App Log'!D219="","",'App Log'!D219)</f>
      </c>
      <c r="J219" s="5">
        <f>IF(AND('Actual Game'!D219="",'App Log'!D219=""),"",IF(TRIM('Actual Game'!D219&amp;"")=TRIM('App Log'!D219&amp;""),"MATCH","DIFF"))</f>
      </c>
      <c r="K219" s="5">
        <f>IF('Actual Game'!E219="","",'Actual Game'!E219)</f>
      </c>
      <c r="L219" s="5">
        <f>IF('App Log'!E219="","",'App Log'!E219)</f>
      </c>
      <c r="M219" s="5">
        <f>IF(AND('Actual Game'!E219="",'App Log'!E219=""),"",IF(TRIM('Actual Game'!E219&amp;"")=TRIM('App Log'!E219&amp;""),"MATCH","DIFF"))</f>
      </c>
      <c r="N219" s="5">
        <f>IF('Actual Game'!F219="","",'Actual Game'!F219)</f>
      </c>
      <c r="O219" s="5">
        <f>IF('App Log'!F219="","",'App Log'!F219)</f>
      </c>
      <c r="P219" s="5">
        <f>IF(AND('Actual Game'!F219="",'App Log'!F219=""),"",IF(TRIM('Actual Game'!F219&amp;"")=TRIM('App Log'!F219&amp;""),"MATCH","DIFF"))</f>
      </c>
      <c r="Q219" s="5">
        <f>IF('Actual Game'!I219="","",'Actual Game'!I219)</f>
      </c>
      <c r="R219" s="5">
        <f>IF('App Log'!I219="","",'App Log'!I219)</f>
      </c>
      <c r="S219" s="5">
        <f>IF(AND('Actual Game'!I219="",'App Log'!I219=""),"",IF(TRIM('Actual Game'!I219&amp;"")=TRIM('App Log'!I219&amp;""),"MATCH","DIFF"))</f>
      </c>
      <c r="T219" s="5">
        <f>IF('Actual Game'!H219="","",'Actual Game'!H219)</f>
      </c>
      <c r="U219" s="5">
        <f>IF('App Log'!H219="","",'App Log'!H219)</f>
      </c>
      <c r="V219" s="5">
        <f>IF(AND('Actual Game'!H219="",'App Log'!H219=""),"",IF(TRIM('Actual Game'!H219&amp;"")=TRIM('App Log'!H219&amp;""),"MATCH","DIFF"))</f>
      </c>
      <c r="W219" s="5">
        <f>IF('Actual Game'!J219="","",'Actual Game'!J219)</f>
      </c>
      <c r="X219" s="5">
        <f>IF('App Log'!J219="","",'App Log'!J219)</f>
      </c>
      <c r="Y219" s="5">
        <f>IF(AND('Actual Game'!J219="",'App Log'!J219=""),"",IF(TRIM('Actual Game'!J219&amp;"")=TRIM('App Log'!J219&amp;""),"MATCH","DIFF"))</f>
      </c>
      <c r="Z219" s="5">
        <f>IF('Actual Game'!K219="","",'Actual Game'!K219)</f>
      </c>
      <c r="AA219" s="5">
        <f>IF('App Log'!K219="","",'App Log'!K219)</f>
      </c>
      <c r="AB219" s="5">
        <f>IF(AND('Actual Game'!K219="",'App Log'!K219=""),"",IF(TRIM('Actual Game'!K219&amp;"")=TRIM('App Log'!K219&amp;""),"MATCH","DIFF"))</f>
      </c>
      <c r="AC219" s="5">
        <f>IF(AND('Actual Game'!A219="",'App Log'!A219=""),"",IF(COUNTIF(D219:AB219,"DIFF")=0,"MATCH","CHECK"))</f>
      </c>
    </row>
    <row r="220" ht="19" customHeight="1">
      <c r="A220" s="5"/>
      <c r="B220" s="5">
        <f>IF('Actual Game'!B220="","",'Actual Game'!B220)</f>
      </c>
      <c r="C220" s="5">
        <f>IF('App Log'!B220="","",'App Log'!B220)</f>
      </c>
      <c r="D220" s="5">
        <f>IF(AND('Actual Game'!B220="",'App Log'!B220=""),"",IF(TRIM('Actual Game'!B220&amp;"")=TRIM('App Log'!B220&amp;""),"MATCH","DIFF"))</f>
      </c>
      <c r="E220" s="5">
        <f>IF('Actual Game'!C220="","",'Actual Game'!C220)</f>
      </c>
      <c r="F220" s="5">
        <f>IF('App Log'!C220="","",'App Log'!C220)</f>
      </c>
      <c r="G220" s="5">
        <f>IF(AND('Actual Game'!C220="",'App Log'!C220=""),"",IF(TRIM('Actual Game'!C220&amp;"")=TRIM('App Log'!C220&amp;""),"MATCH","DIFF"))</f>
      </c>
      <c r="H220" s="5">
        <f>IF('Actual Game'!D220="","",'Actual Game'!D220)</f>
      </c>
      <c r="I220" s="5">
        <f>IF('App Log'!D220="","",'App Log'!D220)</f>
      </c>
      <c r="J220" s="5">
        <f>IF(AND('Actual Game'!D220="",'App Log'!D220=""),"",IF(TRIM('Actual Game'!D220&amp;"")=TRIM('App Log'!D220&amp;""),"MATCH","DIFF"))</f>
      </c>
      <c r="K220" s="5">
        <f>IF('Actual Game'!E220="","",'Actual Game'!E220)</f>
      </c>
      <c r="L220" s="5">
        <f>IF('App Log'!E220="","",'App Log'!E220)</f>
      </c>
      <c r="M220" s="5">
        <f>IF(AND('Actual Game'!E220="",'App Log'!E220=""),"",IF(TRIM('Actual Game'!E220&amp;"")=TRIM('App Log'!E220&amp;""),"MATCH","DIFF"))</f>
      </c>
      <c r="N220" s="5">
        <f>IF('Actual Game'!F220="","",'Actual Game'!F220)</f>
      </c>
      <c r="O220" s="5">
        <f>IF('App Log'!F220="","",'App Log'!F220)</f>
      </c>
      <c r="P220" s="5">
        <f>IF(AND('Actual Game'!F220="",'App Log'!F220=""),"",IF(TRIM('Actual Game'!F220&amp;"")=TRIM('App Log'!F220&amp;""),"MATCH","DIFF"))</f>
      </c>
      <c r="Q220" s="5">
        <f>IF('Actual Game'!I220="","",'Actual Game'!I220)</f>
      </c>
      <c r="R220" s="5">
        <f>IF('App Log'!I220="","",'App Log'!I220)</f>
      </c>
      <c r="S220" s="5">
        <f>IF(AND('Actual Game'!I220="",'App Log'!I220=""),"",IF(TRIM('Actual Game'!I220&amp;"")=TRIM('App Log'!I220&amp;""),"MATCH","DIFF"))</f>
      </c>
      <c r="T220" s="5">
        <f>IF('Actual Game'!H220="","",'Actual Game'!H220)</f>
      </c>
      <c r="U220" s="5">
        <f>IF('App Log'!H220="","",'App Log'!H220)</f>
      </c>
      <c r="V220" s="5">
        <f>IF(AND('Actual Game'!H220="",'App Log'!H220=""),"",IF(TRIM('Actual Game'!H220&amp;"")=TRIM('App Log'!H220&amp;""),"MATCH","DIFF"))</f>
      </c>
      <c r="W220" s="5">
        <f>IF('Actual Game'!J220="","",'Actual Game'!J220)</f>
      </c>
      <c r="X220" s="5">
        <f>IF('App Log'!J220="","",'App Log'!J220)</f>
      </c>
      <c r="Y220" s="5">
        <f>IF(AND('Actual Game'!J220="",'App Log'!J220=""),"",IF(TRIM('Actual Game'!J220&amp;"")=TRIM('App Log'!J220&amp;""),"MATCH","DIFF"))</f>
      </c>
      <c r="Z220" s="5">
        <f>IF('Actual Game'!K220="","",'Actual Game'!K220)</f>
      </c>
      <c r="AA220" s="5">
        <f>IF('App Log'!K220="","",'App Log'!K220)</f>
      </c>
      <c r="AB220" s="5">
        <f>IF(AND('Actual Game'!K220="",'App Log'!K220=""),"",IF(TRIM('Actual Game'!K220&amp;"")=TRIM('App Log'!K220&amp;""),"MATCH","DIFF"))</f>
      </c>
      <c r="AC220" s="5">
        <f>IF(AND('Actual Game'!A220="",'App Log'!A220=""),"",IF(COUNTIF(D220:AB220,"DIFF")=0,"MATCH","CHECK"))</f>
      </c>
    </row>
    <row r="221" ht="19" customHeight="1">
      <c r="A221" s="5"/>
      <c r="B221" s="5">
        <f>IF('Actual Game'!B221="","",'Actual Game'!B221)</f>
      </c>
      <c r="C221" s="5">
        <f>IF('App Log'!B221="","",'App Log'!B221)</f>
      </c>
      <c r="D221" s="5">
        <f>IF(AND('Actual Game'!B221="",'App Log'!B221=""),"",IF(TRIM('Actual Game'!B221&amp;"")=TRIM('App Log'!B221&amp;""),"MATCH","DIFF"))</f>
      </c>
      <c r="E221" s="5">
        <f>IF('Actual Game'!C221="","",'Actual Game'!C221)</f>
      </c>
      <c r="F221" s="5">
        <f>IF('App Log'!C221="","",'App Log'!C221)</f>
      </c>
      <c r="G221" s="5">
        <f>IF(AND('Actual Game'!C221="",'App Log'!C221=""),"",IF(TRIM('Actual Game'!C221&amp;"")=TRIM('App Log'!C221&amp;""),"MATCH","DIFF"))</f>
      </c>
      <c r="H221" s="5">
        <f>IF('Actual Game'!D221="","",'Actual Game'!D221)</f>
      </c>
      <c r="I221" s="5">
        <f>IF('App Log'!D221="","",'App Log'!D221)</f>
      </c>
      <c r="J221" s="5">
        <f>IF(AND('Actual Game'!D221="",'App Log'!D221=""),"",IF(TRIM('Actual Game'!D221&amp;"")=TRIM('App Log'!D221&amp;""),"MATCH","DIFF"))</f>
      </c>
      <c r="K221" s="5">
        <f>IF('Actual Game'!E221="","",'Actual Game'!E221)</f>
      </c>
      <c r="L221" s="5">
        <f>IF('App Log'!E221="","",'App Log'!E221)</f>
      </c>
      <c r="M221" s="5">
        <f>IF(AND('Actual Game'!E221="",'App Log'!E221=""),"",IF(TRIM('Actual Game'!E221&amp;"")=TRIM('App Log'!E221&amp;""),"MATCH","DIFF"))</f>
      </c>
      <c r="N221" s="5">
        <f>IF('Actual Game'!F221="","",'Actual Game'!F221)</f>
      </c>
      <c r="O221" s="5">
        <f>IF('App Log'!F221="","",'App Log'!F221)</f>
      </c>
      <c r="P221" s="5">
        <f>IF(AND('Actual Game'!F221="",'App Log'!F221=""),"",IF(TRIM('Actual Game'!F221&amp;"")=TRIM('App Log'!F221&amp;""),"MATCH","DIFF"))</f>
      </c>
      <c r="Q221" s="5">
        <f>IF('Actual Game'!I221="","",'Actual Game'!I221)</f>
      </c>
      <c r="R221" s="5">
        <f>IF('App Log'!I221="","",'App Log'!I221)</f>
      </c>
      <c r="S221" s="5">
        <f>IF(AND('Actual Game'!I221="",'App Log'!I221=""),"",IF(TRIM('Actual Game'!I221&amp;"")=TRIM('App Log'!I221&amp;""),"MATCH","DIFF"))</f>
      </c>
      <c r="T221" s="5">
        <f>IF('Actual Game'!H221="","",'Actual Game'!H221)</f>
      </c>
      <c r="U221" s="5">
        <f>IF('App Log'!H221="","",'App Log'!H221)</f>
      </c>
      <c r="V221" s="5">
        <f>IF(AND('Actual Game'!H221="",'App Log'!H221=""),"",IF(TRIM('Actual Game'!H221&amp;"")=TRIM('App Log'!H221&amp;""),"MATCH","DIFF"))</f>
      </c>
      <c r="W221" s="5">
        <f>IF('Actual Game'!J221="","",'Actual Game'!J221)</f>
      </c>
      <c r="X221" s="5">
        <f>IF('App Log'!J221="","",'App Log'!J221)</f>
      </c>
      <c r="Y221" s="5">
        <f>IF(AND('Actual Game'!J221="",'App Log'!J221=""),"",IF(TRIM('Actual Game'!J221&amp;"")=TRIM('App Log'!J221&amp;""),"MATCH","DIFF"))</f>
      </c>
      <c r="Z221" s="5">
        <f>IF('Actual Game'!K221="","",'Actual Game'!K221)</f>
      </c>
      <c r="AA221" s="5">
        <f>IF('App Log'!K221="","",'App Log'!K221)</f>
      </c>
      <c r="AB221" s="5">
        <f>IF(AND('Actual Game'!K221="",'App Log'!K221=""),"",IF(TRIM('Actual Game'!K221&amp;"")=TRIM('App Log'!K221&amp;""),"MATCH","DIFF"))</f>
      </c>
      <c r="AC221" s="5">
        <f>IF(AND('Actual Game'!A221="",'App Log'!A221=""),"",IF(COUNTIF(D221:AB221,"DIFF")=0,"MATCH","CHECK"))</f>
      </c>
    </row>
    <row r="222" ht="19" customHeight="1">
      <c r="A222" s="5"/>
      <c r="B222" s="5">
        <f>IF('Actual Game'!B222="","",'Actual Game'!B222)</f>
      </c>
      <c r="C222" s="5">
        <f>IF('App Log'!B222="","",'App Log'!B222)</f>
      </c>
      <c r="D222" s="5">
        <f>IF(AND('Actual Game'!B222="",'App Log'!B222=""),"",IF(TRIM('Actual Game'!B222&amp;"")=TRIM('App Log'!B222&amp;""),"MATCH","DIFF"))</f>
      </c>
      <c r="E222" s="5">
        <f>IF('Actual Game'!C222="","",'Actual Game'!C222)</f>
      </c>
      <c r="F222" s="5">
        <f>IF('App Log'!C222="","",'App Log'!C222)</f>
      </c>
      <c r="G222" s="5">
        <f>IF(AND('Actual Game'!C222="",'App Log'!C222=""),"",IF(TRIM('Actual Game'!C222&amp;"")=TRIM('App Log'!C222&amp;""),"MATCH","DIFF"))</f>
      </c>
      <c r="H222" s="5">
        <f>IF('Actual Game'!D222="","",'Actual Game'!D222)</f>
      </c>
      <c r="I222" s="5">
        <f>IF('App Log'!D222="","",'App Log'!D222)</f>
      </c>
      <c r="J222" s="5">
        <f>IF(AND('Actual Game'!D222="",'App Log'!D222=""),"",IF(TRIM('Actual Game'!D222&amp;"")=TRIM('App Log'!D222&amp;""),"MATCH","DIFF"))</f>
      </c>
      <c r="K222" s="5">
        <f>IF('Actual Game'!E222="","",'Actual Game'!E222)</f>
      </c>
      <c r="L222" s="5">
        <f>IF('App Log'!E222="","",'App Log'!E222)</f>
      </c>
      <c r="M222" s="5">
        <f>IF(AND('Actual Game'!E222="",'App Log'!E222=""),"",IF(TRIM('Actual Game'!E222&amp;"")=TRIM('App Log'!E222&amp;""),"MATCH","DIFF"))</f>
      </c>
      <c r="N222" s="5">
        <f>IF('Actual Game'!F222="","",'Actual Game'!F222)</f>
      </c>
      <c r="O222" s="5">
        <f>IF('App Log'!F222="","",'App Log'!F222)</f>
      </c>
      <c r="P222" s="5">
        <f>IF(AND('Actual Game'!F222="",'App Log'!F222=""),"",IF(TRIM('Actual Game'!F222&amp;"")=TRIM('App Log'!F222&amp;""),"MATCH","DIFF"))</f>
      </c>
      <c r="Q222" s="5">
        <f>IF('Actual Game'!I222="","",'Actual Game'!I222)</f>
      </c>
      <c r="R222" s="5">
        <f>IF('App Log'!I222="","",'App Log'!I222)</f>
      </c>
      <c r="S222" s="5">
        <f>IF(AND('Actual Game'!I222="",'App Log'!I222=""),"",IF(TRIM('Actual Game'!I222&amp;"")=TRIM('App Log'!I222&amp;""),"MATCH","DIFF"))</f>
      </c>
      <c r="T222" s="5">
        <f>IF('Actual Game'!H222="","",'Actual Game'!H222)</f>
      </c>
      <c r="U222" s="5">
        <f>IF('App Log'!H222="","",'App Log'!H222)</f>
      </c>
      <c r="V222" s="5">
        <f>IF(AND('Actual Game'!H222="",'App Log'!H222=""),"",IF(TRIM('Actual Game'!H222&amp;"")=TRIM('App Log'!H222&amp;""),"MATCH","DIFF"))</f>
      </c>
      <c r="W222" s="5">
        <f>IF('Actual Game'!J222="","",'Actual Game'!J222)</f>
      </c>
      <c r="X222" s="5">
        <f>IF('App Log'!J222="","",'App Log'!J222)</f>
      </c>
      <c r="Y222" s="5">
        <f>IF(AND('Actual Game'!J222="",'App Log'!J222=""),"",IF(TRIM('Actual Game'!J222&amp;"")=TRIM('App Log'!J222&amp;""),"MATCH","DIFF"))</f>
      </c>
      <c r="Z222" s="5">
        <f>IF('Actual Game'!K222="","",'Actual Game'!K222)</f>
      </c>
      <c r="AA222" s="5">
        <f>IF('App Log'!K222="","",'App Log'!K222)</f>
      </c>
      <c r="AB222" s="5">
        <f>IF(AND('Actual Game'!K222="",'App Log'!K222=""),"",IF(TRIM('Actual Game'!K222&amp;"")=TRIM('App Log'!K222&amp;""),"MATCH","DIFF"))</f>
      </c>
      <c r="AC222" s="5">
        <f>IF(AND('Actual Game'!A222="",'App Log'!A222=""),"",IF(COUNTIF(D222:AB222,"DIFF")=0,"MATCH","CHECK"))</f>
      </c>
    </row>
    <row r="223" ht="19" customHeight="1">
      <c r="A223" s="5"/>
      <c r="B223" s="5">
        <f>IF('Actual Game'!B223="","",'Actual Game'!B223)</f>
      </c>
      <c r="C223" s="5">
        <f>IF('App Log'!B223="","",'App Log'!B223)</f>
      </c>
      <c r="D223" s="5">
        <f>IF(AND('Actual Game'!B223="",'App Log'!B223=""),"",IF(TRIM('Actual Game'!B223&amp;"")=TRIM('App Log'!B223&amp;""),"MATCH","DIFF"))</f>
      </c>
      <c r="E223" s="5">
        <f>IF('Actual Game'!C223="","",'Actual Game'!C223)</f>
      </c>
      <c r="F223" s="5">
        <f>IF('App Log'!C223="","",'App Log'!C223)</f>
      </c>
      <c r="G223" s="5">
        <f>IF(AND('Actual Game'!C223="",'App Log'!C223=""),"",IF(TRIM('Actual Game'!C223&amp;"")=TRIM('App Log'!C223&amp;""),"MATCH","DIFF"))</f>
      </c>
      <c r="H223" s="5">
        <f>IF('Actual Game'!D223="","",'Actual Game'!D223)</f>
      </c>
      <c r="I223" s="5">
        <f>IF('App Log'!D223="","",'App Log'!D223)</f>
      </c>
      <c r="J223" s="5">
        <f>IF(AND('Actual Game'!D223="",'App Log'!D223=""),"",IF(TRIM('Actual Game'!D223&amp;"")=TRIM('App Log'!D223&amp;""),"MATCH","DIFF"))</f>
      </c>
      <c r="K223" s="5">
        <f>IF('Actual Game'!E223="","",'Actual Game'!E223)</f>
      </c>
      <c r="L223" s="5">
        <f>IF('App Log'!E223="","",'App Log'!E223)</f>
      </c>
      <c r="M223" s="5">
        <f>IF(AND('Actual Game'!E223="",'App Log'!E223=""),"",IF(TRIM('Actual Game'!E223&amp;"")=TRIM('App Log'!E223&amp;""),"MATCH","DIFF"))</f>
      </c>
      <c r="N223" s="5">
        <f>IF('Actual Game'!F223="","",'Actual Game'!F223)</f>
      </c>
      <c r="O223" s="5">
        <f>IF('App Log'!F223="","",'App Log'!F223)</f>
      </c>
      <c r="P223" s="5">
        <f>IF(AND('Actual Game'!F223="",'App Log'!F223=""),"",IF(TRIM('Actual Game'!F223&amp;"")=TRIM('App Log'!F223&amp;""),"MATCH","DIFF"))</f>
      </c>
      <c r="Q223" s="5">
        <f>IF('Actual Game'!I223="","",'Actual Game'!I223)</f>
      </c>
      <c r="R223" s="5">
        <f>IF('App Log'!I223="","",'App Log'!I223)</f>
      </c>
      <c r="S223" s="5">
        <f>IF(AND('Actual Game'!I223="",'App Log'!I223=""),"",IF(TRIM('Actual Game'!I223&amp;"")=TRIM('App Log'!I223&amp;""),"MATCH","DIFF"))</f>
      </c>
      <c r="T223" s="5">
        <f>IF('Actual Game'!H223="","",'Actual Game'!H223)</f>
      </c>
      <c r="U223" s="5">
        <f>IF('App Log'!H223="","",'App Log'!H223)</f>
      </c>
      <c r="V223" s="5">
        <f>IF(AND('Actual Game'!H223="",'App Log'!H223=""),"",IF(TRIM('Actual Game'!H223&amp;"")=TRIM('App Log'!H223&amp;""),"MATCH","DIFF"))</f>
      </c>
      <c r="W223" s="5">
        <f>IF('Actual Game'!J223="","",'Actual Game'!J223)</f>
      </c>
      <c r="X223" s="5">
        <f>IF('App Log'!J223="","",'App Log'!J223)</f>
      </c>
      <c r="Y223" s="5">
        <f>IF(AND('Actual Game'!J223="",'App Log'!J223=""),"",IF(TRIM('Actual Game'!J223&amp;"")=TRIM('App Log'!J223&amp;""),"MATCH","DIFF"))</f>
      </c>
      <c r="Z223" s="5">
        <f>IF('Actual Game'!K223="","",'Actual Game'!K223)</f>
      </c>
      <c r="AA223" s="5">
        <f>IF('App Log'!K223="","",'App Log'!K223)</f>
      </c>
      <c r="AB223" s="5">
        <f>IF(AND('Actual Game'!K223="",'App Log'!K223=""),"",IF(TRIM('Actual Game'!K223&amp;"")=TRIM('App Log'!K223&amp;""),"MATCH","DIFF"))</f>
      </c>
      <c r="AC223" s="5">
        <f>IF(AND('Actual Game'!A223="",'App Log'!A223=""),"",IF(COUNTIF(D223:AB223,"DIFF")=0,"MATCH","CHECK"))</f>
      </c>
    </row>
    <row r="224" ht="19" customHeight="1">
      <c r="A224" s="5"/>
      <c r="B224" s="5">
        <f>IF('Actual Game'!B224="","",'Actual Game'!B224)</f>
      </c>
      <c r="C224" s="5">
        <f>IF('App Log'!B224="","",'App Log'!B224)</f>
      </c>
      <c r="D224" s="5">
        <f>IF(AND('Actual Game'!B224="",'App Log'!B224=""),"",IF(TRIM('Actual Game'!B224&amp;"")=TRIM('App Log'!B224&amp;""),"MATCH","DIFF"))</f>
      </c>
      <c r="E224" s="5">
        <f>IF('Actual Game'!C224="","",'Actual Game'!C224)</f>
      </c>
      <c r="F224" s="5">
        <f>IF('App Log'!C224="","",'App Log'!C224)</f>
      </c>
      <c r="G224" s="5">
        <f>IF(AND('Actual Game'!C224="",'App Log'!C224=""),"",IF(TRIM('Actual Game'!C224&amp;"")=TRIM('App Log'!C224&amp;""),"MATCH","DIFF"))</f>
      </c>
      <c r="H224" s="5">
        <f>IF('Actual Game'!D224="","",'Actual Game'!D224)</f>
      </c>
      <c r="I224" s="5">
        <f>IF('App Log'!D224="","",'App Log'!D224)</f>
      </c>
      <c r="J224" s="5">
        <f>IF(AND('Actual Game'!D224="",'App Log'!D224=""),"",IF(TRIM('Actual Game'!D224&amp;"")=TRIM('App Log'!D224&amp;""),"MATCH","DIFF"))</f>
      </c>
      <c r="K224" s="5">
        <f>IF('Actual Game'!E224="","",'Actual Game'!E224)</f>
      </c>
      <c r="L224" s="5">
        <f>IF('App Log'!E224="","",'App Log'!E224)</f>
      </c>
      <c r="M224" s="5">
        <f>IF(AND('Actual Game'!E224="",'App Log'!E224=""),"",IF(TRIM('Actual Game'!E224&amp;"")=TRIM('App Log'!E224&amp;""),"MATCH","DIFF"))</f>
      </c>
      <c r="N224" s="5">
        <f>IF('Actual Game'!F224="","",'Actual Game'!F224)</f>
      </c>
      <c r="O224" s="5">
        <f>IF('App Log'!F224="","",'App Log'!F224)</f>
      </c>
      <c r="P224" s="5">
        <f>IF(AND('Actual Game'!F224="",'App Log'!F224=""),"",IF(TRIM('Actual Game'!F224&amp;"")=TRIM('App Log'!F224&amp;""),"MATCH","DIFF"))</f>
      </c>
      <c r="Q224" s="5">
        <f>IF('Actual Game'!I224="","",'Actual Game'!I224)</f>
      </c>
      <c r="R224" s="5">
        <f>IF('App Log'!I224="","",'App Log'!I224)</f>
      </c>
      <c r="S224" s="5">
        <f>IF(AND('Actual Game'!I224="",'App Log'!I224=""),"",IF(TRIM('Actual Game'!I224&amp;"")=TRIM('App Log'!I224&amp;""),"MATCH","DIFF"))</f>
      </c>
      <c r="T224" s="5">
        <f>IF('Actual Game'!H224="","",'Actual Game'!H224)</f>
      </c>
      <c r="U224" s="5">
        <f>IF('App Log'!H224="","",'App Log'!H224)</f>
      </c>
      <c r="V224" s="5">
        <f>IF(AND('Actual Game'!H224="",'App Log'!H224=""),"",IF(TRIM('Actual Game'!H224&amp;"")=TRIM('App Log'!H224&amp;""),"MATCH","DIFF"))</f>
      </c>
      <c r="W224" s="5">
        <f>IF('Actual Game'!J224="","",'Actual Game'!J224)</f>
      </c>
      <c r="X224" s="5">
        <f>IF('App Log'!J224="","",'App Log'!J224)</f>
      </c>
      <c r="Y224" s="5">
        <f>IF(AND('Actual Game'!J224="",'App Log'!J224=""),"",IF(TRIM('Actual Game'!J224&amp;"")=TRIM('App Log'!J224&amp;""),"MATCH","DIFF"))</f>
      </c>
      <c r="Z224" s="5">
        <f>IF('Actual Game'!K224="","",'Actual Game'!K224)</f>
      </c>
      <c r="AA224" s="5">
        <f>IF('App Log'!K224="","",'App Log'!K224)</f>
      </c>
      <c r="AB224" s="5">
        <f>IF(AND('Actual Game'!K224="",'App Log'!K224=""),"",IF(TRIM('Actual Game'!K224&amp;"")=TRIM('App Log'!K224&amp;""),"MATCH","DIFF"))</f>
      </c>
      <c r="AC224" s="5">
        <f>IF(AND('Actual Game'!A224="",'App Log'!A224=""),"",IF(COUNTIF(D224:AB224,"DIFF")=0,"MATCH","CHECK"))</f>
      </c>
    </row>
    <row r="225" ht="19" customHeight="1">
      <c r="A225" s="5"/>
      <c r="B225" s="5">
        <f>IF('Actual Game'!B225="","",'Actual Game'!B225)</f>
      </c>
      <c r="C225" s="5">
        <f>IF('App Log'!B225="","",'App Log'!B225)</f>
      </c>
      <c r="D225" s="5">
        <f>IF(AND('Actual Game'!B225="",'App Log'!B225=""),"",IF(TRIM('Actual Game'!B225&amp;"")=TRIM('App Log'!B225&amp;""),"MATCH","DIFF"))</f>
      </c>
      <c r="E225" s="5">
        <f>IF('Actual Game'!C225="","",'Actual Game'!C225)</f>
      </c>
      <c r="F225" s="5">
        <f>IF('App Log'!C225="","",'App Log'!C225)</f>
      </c>
      <c r="G225" s="5">
        <f>IF(AND('Actual Game'!C225="",'App Log'!C225=""),"",IF(TRIM('Actual Game'!C225&amp;"")=TRIM('App Log'!C225&amp;""),"MATCH","DIFF"))</f>
      </c>
      <c r="H225" s="5">
        <f>IF('Actual Game'!D225="","",'Actual Game'!D225)</f>
      </c>
      <c r="I225" s="5">
        <f>IF('App Log'!D225="","",'App Log'!D225)</f>
      </c>
      <c r="J225" s="5">
        <f>IF(AND('Actual Game'!D225="",'App Log'!D225=""),"",IF(TRIM('Actual Game'!D225&amp;"")=TRIM('App Log'!D225&amp;""),"MATCH","DIFF"))</f>
      </c>
      <c r="K225" s="5">
        <f>IF('Actual Game'!E225="","",'Actual Game'!E225)</f>
      </c>
      <c r="L225" s="5">
        <f>IF('App Log'!E225="","",'App Log'!E225)</f>
      </c>
      <c r="M225" s="5">
        <f>IF(AND('Actual Game'!E225="",'App Log'!E225=""),"",IF(TRIM('Actual Game'!E225&amp;"")=TRIM('App Log'!E225&amp;""),"MATCH","DIFF"))</f>
      </c>
      <c r="N225" s="5">
        <f>IF('Actual Game'!F225="","",'Actual Game'!F225)</f>
      </c>
      <c r="O225" s="5">
        <f>IF('App Log'!F225="","",'App Log'!F225)</f>
      </c>
      <c r="P225" s="5">
        <f>IF(AND('Actual Game'!F225="",'App Log'!F225=""),"",IF(TRIM('Actual Game'!F225&amp;"")=TRIM('App Log'!F225&amp;""),"MATCH","DIFF"))</f>
      </c>
      <c r="Q225" s="5">
        <f>IF('Actual Game'!I225="","",'Actual Game'!I225)</f>
      </c>
      <c r="R225" s="5">
        <f>IF('App Log'!I225="","",'App Log'!I225)</f>
      </c>
      <c r="S225" s="5">
        <f>IF(AND('Actual Game'!I225="",'App Log'!I225=""),"",IF(TRIM('Actual Game'!I225&amp;"")=TRIM('App Log'!I225&amp;""),"MATCH","DIFF"))</f>
      </c>
      <c r="T225" s="5">
        <f>IF('Actual Game'!H225="","",'Actual Game'!H225)</f>
      </c>
      <c r="U225" s="5">
        <f>IF('App Log'!H225="","",'App Log'!H225)</f>
      </c>
      <c r="V225" s="5">
        <f>IF(AND('Actual Game'!H225="",'App Log'!H225=""),"",IF(TRIM('Actual Game'!H225&amp;"")=TRIM('App Log'!H225&amp;""),"MATCH","DIFF"))</f>
      </c>
      <c r="W225" s="5">
        <f>IF('Actual Game'!J225="","",'Actual Game'!J225)</f>
      </c>
      <c r="X225" s="5">
        <f>IF('App Log'!J225="","",'App Log'!J225)</f>
      </c>
      <c r="Y225" s="5">
        <f>IF(AND('Actual Game'!J225="",'App Log'!J225=""),"",IF(TRIM('Actual Game'!J225&amp;"")=TRIM('App Log'!J225&amp;""),"MATCH","DIFF"))</f>
      </c>
      <c r="Z225" s="5">
        <f>IF('Actual Game'!K225="","",'Actual Game'!K225)</f>
      </c>
      <c r="AA225" s="5">
        <f>IF('App Log'!K225="","",'App Log'!K225)</f>
      </c>
      <c r="AB225" s="5">
        <f>IF(AND('Actual Game'!K225="",'App Log'!K225=""),"",IF(TRIM('Actual Game'!K225&amp;"")=TRIM('App Log'!K225&amp;""),"MATCH","DIFF"))</f>
      </c>
      <c r="AC225" s="5">
        <f>IF(AND('Actual Game'!A225="",'App Log'!A225=""),"",IF(COUNTIF(D225:AB225,"DIFF")=0,"MATCH","CHECK"))</f>
      </c>
    </row>
    <row r="226" ht="19" customHeight="1">
      <c r="A226" s="5"/>
      <c r="B226" s="5">
        <f>IF('Actual Game'!B226="","",'Actual Game'!B226)</f>
      </c>
      <c r="C226" s="5">
        <f>IF('App Log'!B226="","",'App Log'!B226)</f>
      </c>
      <c r="D226" s="5">
        <f>IF(AND('Actual Game'!B226="",'App Log'!B226=""),"",IF(TRIM('Actual Game'!B226&amp;"")=TRIM('App Log'!B226&amp;""),"MATCH","DIFF"))</f>
      </c>
      <c r="E226" s="5">
        <f>IF('Actual Game'!C226="","",'Actual Game'!C226)</f>
      </c>
      <c r="F226" s="5">
        <f>IF('App Log'!C226="","",'App Log'!C226)</f>
      </c>
      <c r="G226" s="5">
        <f>IF(AND('Actual Game'!C226="",'App Log'!C226=""),"",IF(TRIM('Actual Game'!C226&amp;"")=TRIM('App Log'!C226&amp;""),"MATCH","DIFF"))</f>
      </c>
      <c r="H226" s="5">
        <f>IF('Actual Game'!D226="","",'Actual Game'!D226)</f>
      </c>
      <c r="I226" s="5">
        <f>IF('App Log'!D226="","",'App Log'!D226)</f>
      </c>
      <c r="J226" s="5">
        <f>IF(AND('Actual Game'!D226="",'App Log'!D226=""),"",IF(TRIM('Actual Game'!D226&amp;"")=TRIM('App Log'!D226&amp;""),"MATCH","DIFF"))</f>
      </c>
      <c r="K226" s="5">
        <f>IF('Actual Game'!E226="","",'Actual Game'!E226)</f>
      </c>
      <c r="L226" s="5">
        <f>IF('App Log'!E226="","",'App Log'!E226)</f>
      </c>
      <c r="M226" s="5">
        <f>IF(AND('Actual Game'!E226="",'App Log'!E226=""),"",IF(TRIM('Actual Game'!E226&amp;"")=TRIM('App Log'!E226&amp;""),"MATCH","DIFF"))</f>
      </c>
      <c r="N226" s="5">
        <f>IF('Actual Game'!F226="","",'Actual Game'!F226)</f>
      </c>
      <c r="O226" s="5">
        <f>IF('App Log'!F226="","",'App Log'!F226)</f>
      </c>
      <c r="P226" s="5">
        <f>IF(AND('Actual Game'!F226="",'App Log'!F226=""),"",IF(TRIM('Actual Game'!F226&amp;"")=TRIM('App Log'!F226&amp;""),"MATCH","DIFF"))</f>
      </c>
      <c r="Q226" s="5">
        <f>IF('Actual Game'!I226="","",'Actual Game'!I226)</f>
      </c>
      <c r="R226" s="5">
        <f>IF('App Log'!I226="","",'App Log'!I226)</f>
      </c>
      <c r="S226" s="5">
        <f>IF(AND('Actual Game'!I226="",'App Log'!I226=""),"",IF(TRIM('Actual Game'!I226&amp;"")=TRIM('App Log'!I226&amp;""),"MATCH","DIFF"))</f>
      </c>
      <c r="T226" s="5">
        <f>IF('Actual Game'!H226="","",'Actual Game'!H226)</f>
      </c>
      <c r="U226" s="5">
        <f>IF('App Log'!H226="","",'App Log'!H226)</f>
      </c>
      <c r="V226" s="5">
        <f>IF(AND('Actual Game'!H226="",'App Log'!H226=""),"",IF(TRIM('Actual Game'!H226&amp;"")=TRIM('App Log'!H226&amp;""),"MATCH","DIFF"))</f>
      </c>
      <c r="W226" s="5">
        <f>IF('Actual Game'!J226="","",'Actual Game'!J226)</f>
      </c>
      <c r="X226" s="5">
        <f>IF('App Log'!J226="","",'App Log'!J226)</f>
      </c>
      <c r="Y226" s="5">
        <f>IF(AND('Actual Game'!J226="",'App Log'!J226=""),"",IF(TRIM('Actual Game'!J226&amp;"")=TRIM('App Log'!J226&amp;""),"MATCH","DIFF"))</f>
      </c>
      <c r="Z226" s="5">
        <f>IF('Actual Game'!K226="","",'Actual Game'!K226)</f>
      </c>
      <c r="AA226" s="5">
        <f>IF('App Log'!K226="","",'App Log'!K226)</f>
      </c>
      <c r="AB226" s="5">
        <f>IF(AND('Actual Game'!K226="",'App Log'!K226=""),"",IF(TRIM('Actual Game'!K226&amp;"")=TRIM('App Log'!K226&amp;""),"MATCH","DIFF"))</f>
      </c>
      <c r="AC226" s="5">
        <f>IF(AND('Actual Game'!A226="",'App Log'!A226=""),"",IF(COUNTIF(D226:AB226,"DIFF")=0,"MATCH","CHECK"))</f>
      </c>
    </row>
    <row r="227" ht="19" customHeight="1">
      <c r="A227" s="5"/>
      <c r="B227" s="5">
        <f>IF('Actual Game'!B227="","",'Actual Game'!B227)</f>
      </c>
      <c r="C227" s="5">
        <f>IF('App Log'!B227="","",'App Log'!B227)</f>
      </c>
      <c r="D227" s="5">
        <f>IF(AND('Actual Game'!B227="",'App Log'!B227=""),"",IF(TRIM('Actual Game'!B227&amp;"")=TRIM('App Log'!B227&amp;""),"MATCH","DIFF"))</f>
      </c>
      <c r="E227" s="5">
        <f>IF('Actual Game'!C227="","",'Actual Game'!C227)</f>
      </c>
      <c r="F227" s="5">
        <f>IF('App Log'!C227="","",'App Log'!C227)</f>
      </c>
      <c r="G227" s="5">
        <f>IF(AND('Actual Game'!C227="",'App Log'!C227=""),"",IF(TRIM('Actual Game'!C227&amp;"")=TRIM('App Log'!C227&amp;""),"MATCH","DIFF"))</f>
      </c>
      <c r="H227" s="5">
        <f>IF('Actual Game'!D227="","",'Actual Game'!D227)</f>
      </c>
      <c r="I227" s="5">
        <f>IF('App Log'!D227="","",'App Log'!D227)</f>
      </c>
      <c r="J227" s="5">
        <f>IF(AND('Actual Game'!D227="",'App Log'!D227=""),"",IF(TRIM('Actual Game'!D227&amp;"")=TRIM('App Log'!D227&amp;""),"MATCH","DIFF"))</f>
      </c>
      <c r="K227" s="5">
        <f>IF('Actual Game'!E227="","",'Actual Game'!E227)</f>
      </c>
      <c r="L227" s="5">
        <f>IF('App Log'!E227="","",'App Log'!E227)</f>
      </c>
      <c r="M227" s="5">
        <f>IF(AND('Actual Game'!E227="",'App Log'!E227=""),"",IF(TRIM('Actual Game'!E227&amp;"")=TRIM('App Log'!E227&amp;""),"MATCH","DIFF"))</f>
      </c>
      <c r="N227" s="5">
        <f>IF('Actual Game'!F227="","",'Actual Game'!F227)</f>
      </c>
      <c r="O227" s="5">
        <f>IF('App Log'!F227="","",'App Log'!F227)</f>
      </c>
      <c r="P227" s="5">
        <f>IF(AND('Actual Game'!F227="",'App Log'!F227=""),"",IF(TRIM('Actual Game'!F227&amp;"")=TRIM('App Log'!F227&amp;""),"MATCH","DIFF"))</f>
      </c>
      <c r="Q227" s="5">
        <f>IF('Actual Game'!I227="","",'Actual Game'!I227)</f>
      </c>
      <c r="R227" s="5">
        <f>IF('App Log'!I227="","",'App Log'!I227)</f>
      </c>
      <c r="S227" s="5">
        <f>IF(AND('Actual Game'!I227="",'App Log'!I227=""),"",IF(TRIM('Actual Game'!I227&amp;"")=TRIM('App Log'!I227&amp;""),"MATCH","DIFF"))</f>
      </c>
      <c r="T227" s="5">
        <f>IF('Actual Game'!H227="","",'Actual Game'!H227)</f>
      </c>
      <c r="U227" s="5">
        <f>IF('App Log'!H227="","",'App Log'!H227)</f>
      </c>
      <c r="V227" s="5">
        <f>IF(AND('Actual Game'!H227="",'App Log'!H227=""),"",IF(TRIM('Actual Game'!H227&amp;"")=TRIM('App Log'!H227&amp;""),"MATCH","DIFF"))</f>
      </c>
      <c r="W227" s="5">
        <f>IF('Actual Game'!J227="","",'Actual Game'!J227)</f>
      </c>
      <c r="X227" s="5">
        <f>IF('App Log'!J227="","",'App Log'!J227)</f>
      </c>
      <c r="Y227" s="5">
        <f>IF(AND('Actual Game'!J227="",'App Log'!J227=""),"",IF(TRIM('Actual Game'!J227&amp;"")=TRIM('App Log'!J227&amp;""),"MATCH","DIFF"))</f>
      </c>
      <c r="Z227" s="5">
        <f>IF('Actual Game'!K227="","",'Actual Game'!K227)</f>
      </c>
      <c r="AA227" s="5">
        <f>IF('App Log'!K227="","",'App Log'!K227)</f>
      </c>
      <c r="AB227" s="5">
        <f>IF(AND('Actual Game'!K227="",'App Log'!K227=""),"",IF(TRIM('Actual Game'!K227&amp;"")=TRIM('App Log'!K227&amp;""),"MATCH","DIFF"))</f>
      </c>
      <c r="AC227" s="5">
        <f>IF(AND('Actual Game'!A227="",'App Log'!A227=""),"",IF(COUNTIF(D227:AB227,"DIFF")=0,"MATCH","CHECK"))</f>
      </c>
    </row>
    <row r="228" ht="19" customHeight="1">
      <c r="A228" s="5"/>
      <c r="B228" s="5">
        <f>IF('Actual Game'!B228="","",'Actual Game'!B228)</f>
      </c>
      <c r="C228" s="5">
        <f>IF('App Log'!B228="","",'App Log'!B228)</f>
      </c>
      <c r="D228" s="5">
        <f>IF(AND('Actual Game'!B228="",'App Log'!B228=""),"",IF(TRIM('Actual Game'!B228&amp;"")=TRIM('App Log'!B228&amp;""),"MATCH","DIFF"))</f>
      </c>
      <c r="E228" s="5">
        <f>IF('Actual Game'!C228="","",'Actual Game'!C228)</f>
      </c>
      <c r="F228" s="5">
        <f>IF('App Log'!C228="","",'App Log'!C228)</f>
      </c>
      <c r="G228" s="5">
        <f>IF(AND('Actual Game'!C228="",'App Log'!C228=""),"",IF(TRIM('Actual Game'!C228&amp;"")=TRIM('App Log'!C228&amp;""),"MATCH","DIFF"))</f>
      </c>
      <c r="H228" s="5">
        <f>IF('Actual Game'!D228="","",'Actual Game'!D228)</f>
      </c>
      <c r="I228" s="5">
        <f>IF('App Log'!D228="","",'App Log'!D228)</f>
      </c>
      <c r="J228" s="5">
        <f>IF(AND('Actual Game'!D228="",'App Log'!D228=""),"",IF(TRIM('Actual Game'!D228&amp;"")=TRIM('App Log'!D228&amp;""),"MATCH","DIFF"))</f>
      </c>
      <c r="K228" s="5">
        <f>IF('Actual Game'!E228="","",'Actual Game'!E228)</f>
      </c>
      <c r="L228" s="5">
        <f>IF('App Log'!E228="","",'App Log'!E228)</f>
      </c>
      <c r="M228" s="5">
        <f>IF(AND('Actual Game'!E228="",'App Log'!E228=""),"",IF(TRIM('Actual Game'!E228&amp;"")=TRIM('App Log'!E228&amp;""),"MATCH","DIFF"))</f>
      </c>
      <c r="N228" s="5">
        <f>IF('Actual Game'!F228="","",'Actual Game'!F228)</f>
      </c>
      <c r="O228" s="5">
        <f>IF('App Log'!F228="","",'App Log'!F228)</f>
      </c>
      <c r="P228" s="5">
        <f>IF(AND('Actual Game'!F228="",'App Log'!F228=""),"",IF(TRIM('Actual Game'!F228&amp;"")=TRIM('App Log'!F228&amp;""),"MATCH","DIFF"))</f>
      </c>
      <c r="Q228" s="5">
        <f>IF('Actual Game'!I228="","",'Actual Game'!I228)</f>
      </c>
      <c r="R228" s="5">
        <f>IF('App Log'!I228="","",'App Log'!I228)</f>
      </c>
      <c r="S228" s="5">
        <f>IF(AND('Actual Game'!I228="",'App Log'!I228=""),"",IF(TRIM('Actual Game'!I228&amp;"")=TRIM('App Log'!I228&amp;""),"MATCH","DIFF"))</f>
      </c>
      <c r="T228" s="5">
        <f>IF('Actual Game'!H228="","",'Actual Game'!H228)</f>
      </c>
      <c r="U228" s="5">
        <f>IF('App Log'!H228="","",'App Log'!H228)</f>
      </c>
      <c r="V228" s="5">
        <f>IF(AND('Actual Game'!H228="",'App Log'!H228=""),"",IF(TRIM('Actual Game'!H228&amp;"")=TRIM('App Log'!H228&amp;""),"MATCH","DIFF"))</f>
      </c>
      <c r="W228" s="5">
        <f>IF('Actual Game'!J228="","",'Actual Game'!J228)</f>
      </c>
      <c r="X228" s="5">
        <f>IF('App Log'!J228="","",'App Log'!J228)</f>
      </c>
      <c r="Y228" s="5">
        <f>IF(AND('Actual Game'!J228="",'App Log'!J228=""),"",IF(TRIM('Actual Game'!J228&amp;"")=TRIM('App Log'!J228&amp;""),"MATCH","DIFF"))</f>
      </c>
      <c r="Z228" s="5">
        <f>IF('Actual Game'!K228="","",'Actual Game'!K228)</f>
      </c>
      <c r="AA228" s="5">
        <f>IF('App Log'!K228="","",'App Log'!K228)</f>
      </c>
      <c r="AB228" s="5">
        <f>IF(AND('Actual Game'!K228="",'App Log'!K228=""),"",IF(TRIM('Actual Game'!K228&amp;"")=TRIM('App Log'!K228&amp;""),"MATCH","DIFF"))</f>
      </c>
      <c r="AC228" s="5">
        <f>IF(AND('Actual Game'!A228="",'App Log'!A228=""),"",IF(COUNTIF(D228:AB228,"DIFF")=0,"MATCH","CHECK"))</f>
      </c>
    </row>
    <row r="229" ht="19" customHeight="1">
      <c r="A229" s="5"/>
      <c r="B229" s="5">
        <f>IF('Actual Game'!B229="","",'Actual Game'!B229)</f>
      </c>
      <c r="C229" s="5">
        <f>IF('App Log'!B229="","",'App Log'!B229)</f>
      </c>
      <c r="D229" s="5">
        <f>IF(AND('Actual Game'!B229="",'App Log'!B229=""),"",IF(TRIM('Actual Game'!B229&amp;"")=TRIM('App Log'!B229&amp;""),"MATCH","DIFF"))</f>
      </c>
      <c r="E229" s="5">
        <f>IF('Actual Game'!C229="","",'Actual Game'!C229)</f>
      </c>
      <c r="F229" s="5">
        <f>IF('App Log'!C229="","",'App Log'!C229)</f>
      </c>
      <c r="G229" s="5">
        <f>IF(AND('Actual Game'!C229="",'App Log'!C229=""),"",IF(TRIM('Actual Game'!C229&amp;"")=TRIM('App Log'!C229&amp;""),"MATCH","DIFF"))</f>
      </c>
      <c r="H229" s="5">
        <f>IF('Actual Game'!D229="","",'Actual Game'!D229)</f>
      </c>
      <c r="I229" s="5">
        <f>IF('App Log'!D229="","",'App Log'!D229)</f>
      </c>
      <c r="J229" s="5">
        <f>IF(AND('Actual Game'!D229="",'App Log'!D229=""),"",IF(TRIM('Actual Game'!D229&amp;"")=TRIM('App Log'!D229&amp;""),"MATCH","DIFF"))</f>
      </c>
      <c r="K229" s="5">
        <f>IF('Actual Game'!E229="","",'Actual Game'!E229)</f>
      </c>
      <c r="L229" s="5">
        <f>IF('App Log'!E229="","",'App Log'!E229)</f>
      </c>
      <c r="M229" s="5">
        <f>IF(AND('Actual Game'!E229="",'App Log'!E229=""),"",IF(TRIM('Actual Game'!E229&amp;"")=TRIM('App Log'!E229&amp;""),"MATCH","DIFF"))</f>
      </c>
      <c r="N229" s="5">
        <f>IF('Actual Game'!F229="","",'Actual Game'!F229)</f>
      </c>
      <c r="O229" s="5">
        <f>IF('App Log'!F229="","",'App Log'!F229)</f>
      </c>
      <c r="P229" s="5">
        <f>IF(AND('Actual Game'!F229="",'App Log'!F229=""),"",IF(TRIM('Actual Game'!F229&amp;"")=TRIM('App Log'!F229&amp;""),"MATCH","DIFF"))</f>
      </c>
      <c r="Q229" s="5">
        <f>IF('Actual Game'!I229="","",'Actual Game'!I229)</f>
      </c>
      <c r="R229" s="5">
        <f>IF('App Log'!I229="","",'App Log'!I229)</f>
      </c>
      <c r="S229" s="5">
        <f>IF(AND('Actual Game'!I229="",'App Log'!I229=""),"",IF(TRIM('Actual Game'!I229&amp;"")=TRIM('App Log'!I229&amp;""),"MATCH","DIFF"))</f>
      </c>
      <c r="T229" s="5">
        <f>IF('Actual Game'!H229="","",'Actual Game'!H229)</f>
      </c>
      <c r="U229" s="5">
        <f>IF('App Log'!H229="","",'App Log'!H229)</f>
      </c>
      <c r="V229" s="5">
        <f>IF(AND('Actual Game'!H229="",'App Log'!H229=""),"",IF(TRIM('Actual Game'!H229&amp;"")=TRIM('App Log'!H229&amp;""),"MATCH","DIFF"))</f>
      </c>
      <c r="W229" s="5">
        <f>IF('Actual Game'!J229="","",'Actual Game'!J229)</f>
      </c>
      <c r="X229" s="5">
        <f>IF('App Log'!J229="","",'App Log'!J229)</f>
      </c>
      <c r="Y229" s="5">
        <f>IF(AND('Actual Game'!J229="",'App Log'!J229=""),"",IF(TRIM('Actual Game'!J229&amp;"")=TRIM('App Log'!J229&amp;""),"MATCH","DIFF"))</f>
      </c>
      <c r="Z229" s="5">
        <f>IF('Actual Game'!K229="","",'Actual Game'!K229)</f>
      </c>
      <c r="AA229" s="5">
        <f>IF('App Log'!K229="","",'App Log'!K229)</f>
      </c>
      <c r="AB229" s="5">
        <f>IF(AND('Actual Game'!K229="",'App Log'!K229=""),"",IF(TRIM('Actual Game'!K229&amp;"")=TRIM('App Log'!K229&amp;""),"MATCH","DIFF"))</f>
      </c>
      <c r="AC229" s="5">
        <f>IF(AND('Actual Game'!A229="",'App Log'!A229=""),"",IF(COUNTIF(D229:AB229,"DIFF")=0,"MATCH","CHECK"))</f>
      </c>
    </row>
    <row r="230" ht="19" customHeight="1">
      <c r="A230" s="5"/>
      <c r="B230" s="5">
        <f>IF('Actual Game'!B230="","",'Actual Game'!B230)</f>
      </c>
      <c r="C230" s="5">
        <f>IF('App Log'!B230="","",'App Log'!B230)</f>
      </c>
      <c r="D230" s="5">
        <f>IF(AND('Actual Game'!B230="",'App Log'!B230=""),"",IF(TRIM('Actual Game'!B230&amp;"")=TRIM('App Log'!B230&amp;""),"MATCH","DIFF"))</f>
      </c>
      <c r="E230" s="5">
        <f>IF('Actual Game'!C230="","",'Actual Game'!C230)</f>
      </c>
      <c r="F230" s="5">
        <f>IF('App Log'!C230="","",'App Log'!C230)</f>
      </c>
      <c r="G230" s="5">
        <f>IF(AND('Actual Game'!C230="",'App Log'!C230=""),"",IF(TRIM('Actual Game'!C230&amp;"")=TRIM('App Log'!C230&amp;""),"MATCH","DIFF"))</f>
      </c>
      <c r="H230" s="5">
        <f>IF('Actual Game'!D230="","",'Actual Game'!D230)</f>
      </c>
      <c r="I230" s="5">
        <f>IF('App Log'!D230="","",'App Log'!D230)</f>
      </c>
      <c r="J230" s="5">
        <f>IF(AND('Actual Game'!D230="",'App Log'!D230=""),"",IF(TRIM('Actual Game'!D230&amp;"")=TRIM('App Log'!D230&amp;""),"MATCH","DIFF"))</f>
      </c>
      <c r="K230" s="5">
        <f>IF('Actual Game'!E230="","",'Actual Game'!E230)</f>
      </c>
      <c r="L230" s="5">
        <f>IF('App Log'!E230="","",'App Log'!E230)</f>
      </c>
      <c r="M230" s="5">
        <f>IF(AND('Actual Game'!E230="",'App Log'!E230=""),"",IF(TRIM('Actual Game'!E230&amp;"")=TRIM('App Log'!E230&amp;""),"MATCH","DIFF"))</f>
      </c>
      <c r="N230" s="5">
        <f>IF('Actual Game'!F230="","",'Actual Game'!F230)</f>
      </c>
      <c r="O230" s="5">
        <f>IF('App Log'!F230="","",'App Log'!F230)</f>
      </c>
      <c r="P230" s="5">
        <f>IF(AND('Actual Game'!F230="",'App Log'!F230=""),"",IF(TRIM('Actual Game'!F230&amp;"")=TRIM('App Log'!F230&amp;""),"MATCH","DIFF"))</f>
      </c>
      <c r="Q230" s="5">
        <f>IF('Actual Game'!I230="","",'Actual Game'!I230)</f>
      </c>
      <c r="R230" s="5">
        <f>IF('App Log'!I230="","",'App Log'!I230)</f>
      </c>
      <c r="S230" s="5">
        <f>IF(AND('Actual Game'!I230="",'App Log'!I230=""),"",IF(TRIM('Actual Game'!I230&amp;"")=TRIM('App Log'!I230&amp;""),"MATCH","DIFF"))</f>
      </c>
      <c r="T230" s="5">
        <f>IF('Actual Game'!H230="","",'Actual Game'!H230)</f>
      </c>
      <c r="U230" s="5">
        <f>IF('App Log'!H230="","",'App Log'!H230)</f>
      </c>
      <c r="V230" s="5">
        <f>IF(AND('Actual Game'!H230="",'App Log'!H230=""),"",IF(TRIM('Actual Game'!H230&amp;"")=TRIM('App Log'!H230&amp;""),"MATCH","DIFF"))</f>
      </c>
      <c r="W230" s="5">
        <f>IF('Actual Game'!J230="","",'Actual Game'!J230)</f>
      </c>
      <c r="X230" s="5">
        <f>IF('App Log'!J230="","",'App Log'!J230)</f>
      </c>
      <c r="Y230" s="5">
        <f>IF(AND('Actual Game'!J230="",'App Log'!J230=""),"",IF(TRIM('Actual Game'!J230&amp;"")=TRIM('App Log'!J230&amp;""),"MATCH","DIFF"))</f>
      </c>
      <c r="Z230" s="5">
        <f>IF('Actual Game'!K230="","",'Actual Game'!K230)</f>
      </c>
      <c r="AA230" s="5">
        <f>IF('App Log'!K230="","",'App Log'!K230)</f>
      </c>
      <c r="AB230" s="5">
        <f>IF(AND('Actual Game'!K230="",'App Log'!K230=""),"",IF(TRIM('Actual Game'!K230&amp;"")=TRIM('App Log'!K230&amp;""),"MATCH","DIFF"))</f>
      </c>
      <c r="AC230" s="5">
        <f>IF(AND('Actual Game'!A230="",'App Log'!A230=""),"",IF(COUNTIF(D230:AB230,"DIFF")=0,"MATCH","CHECK"))</f>
      </c>
    </row>
    <row r="231" ht="19" customHeight="1">
      <c r="A231" s="5"/>
      <c r="B231" s="5">
        <f>IF('Actual Game'!B231="","",'Actual Game'!B231)</f>
      </c>
      <c r="C231" s="5">
        <f>IF('App Log'!B231="","",'App Log'!B231)</f>
      </c>
      <c r="D231" s="5">
        <f>IF(AND('Actual Game'!B231="",'App Log'!B231=""),"",IF(TRIM('Actual Game'!B231&amp;"")=TRIM('App Log'!B231&amp;""),"MATCH","DIFF"))</f>
      </c>
      <c r="E231" s="5">
        <f>IF('Actual Game'!C231="","",'Actual Game'!C231)</f>
      </c>
      <c r="F231" s="5">
        <f>IF('App Log'!C231="","",'App Log'!C231)</f>
      </c>
      <c r="G231" s="5">
        <f>IF(AND('Actual Game'!C231="",'App Log'!C231=""),"",IF(TRIM('Actual Game'!C231&amp;"")=TRIM('App Log'!C231&amp;""),"MATCH","DIFF"))</f>
      </c>
      <c r="H231" s="5">
        <f>IF('Actual Game'!D231="","",'Actual Game'!D231)</f>
      </c>
      <c r="I231" s="5">
        <f>IF('App Log'!D231="","",'App Log'!D231)</f>
      </c>
      <c r="J231" s="5">
        <f>IF(AND('Actual Game'!D231="",'App Log'!D231=""),"",IF(TRIM('Actual Game'!D231&amp;"")=TRIM('App Log'!D231&amp;""),"MATCH","DIFF"))</f>
      </c>
      <c r="K231" s="5">
        <f>IF('Actual Game'!E231="","",'Actual Game'!E231)</f>
      </c>
      <c r="L231" s="5">
        <f>IF('App Log'!E231="","",'App Log'!E231)</f>
      </c>
      <c r="M231" s="5">
        <f>IF(AND('Actual Game'!E231="",'App Log'!E231=""),"",IF(TRIM('Actual Game'!E231&amp;"")=TRIM('App Log'!E231&amp;""),"MATCH","DIFF"))</f>
      </c>
      <c r="N231" s="5">
        <f>IF('Actual Game'!F231="","",'Actual Game'!F231)</f>
      </c>
      <c r="O231" s="5">
        <f>IF('App Log'!F231="","",'App Log'!F231)</f>
      </c>
      <c r="P231" s="5">
        <f>IF(AND('Actual Game'!F231="",'App Log'!F231=""),"",IF(TRIM('Actual Game'!F231&amp;"")=TRIM('App Log'!F231&amp;""),"MATCH","DIFF"))</f>
      </c>
      <c r="Q231" s="5">
        <f>IF('Actual Game'!I231="","",'Actual Game'!I231)</f>
      </c>
      <c r="R231" s="5">
        <f>IF('App Log'!I231="","",'App Log'!I231)</f>
      </c>
      <c r="S231" s="5">
        <f>IF(AND('Actual Game'!I231="",'App Log'!I231=""),"",IF(TRIM('Actual Game'!I231&amp;"")=TRIM('App Log'!I231&amp;""),"MATCH","DIFF"))</f>
      </c>
      <c r="T231" s="5">
        <f>IF('Actual Game'!H231="","",'Actual Game'!H231)</f>
      </c>
      <c r="U231" s="5">
        <f>IF('App Log'!H231="","",'App Log'!H231)</f>
      </c>
      <c r="V231" s="5">
        <f>IF(AND('Actual Game'!H231="",'App Log'!H231=""),"",IF(TRIM('Actual Game'!H231&amp;"")=TRIM('App Log'!H231&amp;""),"MATCH","DIFF"))</f>
      </c>
      <c r="W231" s="5">
        <f>IF('Actual Game'!J231="","",'Actual Game'!J231)</f>
      </c>
      <c r="X231" s="5">
        <f>IF('App Log'!J231="","",'App Log'!J231)</f>
      </c>
      <c r="Y231" s="5">
        <f>IF(AND('Actual Game'!J231="",'App Log'!J231=""),"",IF(TRIM('Actual Game'!J231&amp;"")=TRIM('App Log'!J231&amp;""),"MATCH","DIFF"))</f>
      </c>
      <c r="Z231" s="5">
        <f>IF('Actual Game'!K231="","",'Actual Game'!K231)</f>
      </c>
      <c r="AA231" s="5">
        <f>IF('App Log'!K231="","",'App Log'!K231)</f>
      </c>
      <c r="AB231" s="5">
        <f>IF(AND('Actual Game'!K231="",'App Log'!K231=""),"",IF(TRIM('Actual Game'!K231&amp;"")=TRIM('App Log'!K231&amp;""),"MATCH","DIFF"))</f>
      </c>
      <c r="AC231" s="5">
        <f>IF(AND('Actual Game'!A231="",'App Log'!A231=""),"",IF(COUNTIF(D231:AB231,"DIFF")=0,"MATCH","CHECK"))</f>
      </c>
    </row>
    <row r="232" ht="19" customHeight="1">
      <c r="A232" s="5"/>
      <c r="B232" s="5">
        <f>IF('Actual Game'!B232="","",'Actual Game'!B232)</f>
      </c>
      <c r="C232" s="5">
        <f>IF('App Log'!B232="","",'App Log'!B232)</f>
      </c>
      <c r="D232" s="5">
        <f>IF(AND('Actual Game'!B232="",'App Log'!B232=""),"",IF(TRIM('Actual Game'!B232&amp;"")=TRIM('App Log'!B232&amp;""),"MATCH","DIFF"))</f>
      </c>
      <c r="E232" s="5">
        <f>IF('Actual Game'!C232="","",'Actual Game'!C232)</f>
      </c>
      <c r="F232" s="5">
        <f>IF('App Log'!C232="","",'App Log'!C232)</f>
      </c>
      <c r="G232" s="5">
        <f>IF(AND('Actual Game'!C232="",'App Log'!C232=""),"",IF(TRIM('Actual Game'!C232&amp;"")=TRIM('App Log'!C232&amp;""),"MATCH","DIFF"))</f>
      </c>
      <c r="H232" s="5">
        <f>IF('Actual Game'!D232="","",'Actual Game'!D232)</f>
      </c>
      <c r="I232" s="5">
        <f>IF('App Log'!D232="","",'App Log'!D232)</f>
      </c>
      <c r="J232" s="5">
        <f>IF(AND('Actual Game'!D232="",'App Log'!D232=""),"",IF(TRIM('Actual Game'!D232&amp;"")=TRIM('App Log'!D232&amp;""),"MATCH","DIFF"))</f>
      </c>
      <c r="K232" s="5">
        <f>IF('Actual Game'!E232="","",'Actual Game'!E232)</f>
      </c>
      <c r="L232" s="5">
        <f>IF('App Log'!E232="","",'App Log'!E232)</f>
      </c>
      <c r="M232" s="5">
        <f>IF(AND('Actual Game'!E232="",'App Log'!E232=""),"",IF(TRIM('Actual Game'!E232&amp;"")=TRIM('App Log'!E232&amp;""),"MATCH","DIFF"))</f>
      </c>
      <c r="N232" s="5">
        <f>IF('Actual Game'!F232="","",'Actual Game'!F232)</f>
      </c>
      <c r="O232" s="5">
        <f>IF('App Log'!F232="","",'App Log'!F232)</f>
      </c>
      <c r="P232" s="5">
        <f>IF(AND('Actual Game'!F232="",'App Log'!F232=""),"",IF(TRIM('Actual Game'!F232&amp;"")=TRIM('App Log'!F232&amp;""),"MATCH","DIFF"))</f>
      </c>
      <c r="Q232" s="5">
        <f>IF('Actual Game'!I232="","",'Actual Game'!I232)</f>
      </c>
      <c r="R232" s="5">
        <f>IF('App Log'!I232="","",'App Log'!I232)</f>
      </c>
      <c r="S232" s="5">
        <f>IF(AND('Actual Game'!I232="",'App Log'!I232=""),"",IF(TRIM('Actual Game'!I232&amp;"")=TRIM('App Log'!I232&amp;""),"MATCH","DIFF"))</f>
      </c>
      <c r="T232" s="5">
        <f>IF('Actual Game'!H232="","",'Actual Game'!H232)</f>
      </c>
      <c r="U232" s="5">
        <f>IF('App Log'!H232="","",'App Log'!H232)</f>
      </c>
      <c r="V232" s="5">
        <f>IF(AND('Actual Game'!H232="",'App Log'!H232=""),"",IF(TRIM('Actual Game'!H232&amp;"")=TRIM('App Log'!H232&amp;""),"MATCH","DIFF"))</f>
      </c>
      <c r="W232" s="5">
        <f>IF('Actual Game'!J232="","",'Actual Game'!J232)</f>
      </c>
      <c r="X232" s="5">
        <f>IF('App Log'!J232="","",'App Log'!J232)</f>
      </c>
      <c r="Y232" s="5">
        <f>IF(AND('Actual Game'!J232="",'App Log'!J232=""),"",IF(TRIM('Actual Game'!J232&amp;"")=TRIM('App Log'!J232&amp;""),"MATCH","DIFF"))</f>
      </c>
      <c r="Z232" s="5">
        <f>IF('Actual Game'!K232="","",'Actual Game'!K232)</f>
      </c>
      <c r="AA232" s="5">
        <f>IF('App Log'!K232="","",'App Log'!K232)</f>
      </c>
      <c r="AB232" s="5">
        <f>IF(AND('Actual Game'!K232="",'App Log'!K232=""),"",IF(TRIM('Actual Game'!K232&amp;"")=TRIM('App Log'!K232&amp;""),"MATCH","DIFF"))</f>
      </c>
      <c r="AC232" s="5">
        <f>IF(AND('Actual Game'!A232="",'App Log'!A232=""),"",IF(COUNTIF(D232:AB232,"DIFF")=0,"MATCH","CHECK"))</f>
      </c>
    </row>
    <row r="233" ht="19" customHeight="1">
      <c r="A233" s="5"/>
      <c r="B233" s="5">
        <f>IF('Actual Game'!B233="","",'Actual Game'!B233)</f>
      </c>
      <c r="C233" s="5">
        <f>IF('App Log'!B233="","",'App Log'!B233)</f>
      </c>
      <c r="D233" s="5">
        <f>IF(AND('Actual Game'!B233="",'App Log'!B233=""),"",IF(TRIM('Actual Game'!B233&amp;"")=TRIM('App Log'!B233&amp;""),"MATCH","DIFF"))</f>
      </c>
      <c r="E233" s="5">
        <f>IF('Actual Game'!C233="","",'Actual Game'!C233)</f>
      </c>
      <c r="F233" s="5">
        <f>IF('App Log'!C233="","",'App Log'!C233)</f>
      </c>
      <c r="G233" s="5">
        <f>IF(AND('Actual Game'!C233="",'App Log'!C233=""),"",IF(TRIM('Actual Game'!C233&amp;"")=TRIM('App Log'!C233&amp;""),"MATCH","DIFF"))</f>
      </c>
      <c r="H233" s="5">
        <f>IF('Actual Game'!D233="","",'Actual Game'!D233)</f>
      </c>
      <c r="I233" s="5">
        <f>IF('App Log'!D233="","",'App Log'!D233)</f>
      </c>
      <c r="J233" s="5">
        <f>IF(AND('Actual Game'!D233="",'App Log'!D233=""),"",IF(TRIM('Actual Game'!D233&amp;"")=TRIM('App Log'!D233&amp;""),"MATCH","DIFF"))</f>
      </c>
      <c r="K233" s="5">
        <f>IF('Actual Game'!E233="","",'Actual Game'!E233)</f>
      </c>
      <c r="L233" s="5">
        <f>IF('App Log'!E233="","",'App Log'!E233)</f>
      </c>
      <c r="M233" s="5">
        <f>IF(AND('Actual Game'!E233="",'App Log'!E233=""),"",IF(TRIM('Actual Game'!E233&amp;"")=TRIM('App Log'!E233&amp;""),"MATCH","DIFF"))</f>
      </c>
      <c r="N233" s="5">
        <f>IF('Actual Game'!F233="","",'Actual Game'!F233)</f>
      </c>
      <c r="O233" s="5">
        <f>IF('App Log'!F233="","",'App Log'!F233)</f>
      </c>
      <c r="P233" s="5">
        <f>IF(AND('Actual Game'!F233="",'App Log'!F233=""),"",IF(TRIM('Actual Game'!F233&amp;"")=TRIM('App Log'!F233&amp;""),"MATCH","DIFF"))</f>
      </c>
      <c r="Q233" s="5">
        <f>IF('Actual Game'!I233="","",'Actual Game'!I233)</f>
      </c>
      <c r="R233" s="5">
        <f>IF('App Log'!I233="","",'App Log'!I233)</f>
      </c>
      <c r="S233" s="5">
        <f>IF(AND('Actual Game'!I233="",'App Log'!I233=""),"",IF(TRIM('Actual Game'!I233&amp;"")=TRIM('App Log'!I233&amp;""),"MATCH","DIFF"))</f>
      </c>
      <c r="T233" s="5">
        <f>IF('Actual Game'!H233="","",'Actual Game'!H233)</f>
      </c>
      <c r="U233" s="5">
        <f>IF('App Log'!H233="","",'App Log'!H233)</f>
      </c>
      <c r="V233" s="5">
        <f>IF(AND('Actual Game'!H233="",'App Log'!H233=""),"",IF(TRIM('Actual Game'!H233&amp;"")=TRIM('App Log'!H233&amp;""),"MATCH","DIFF"))</f>
      </c>
      <c r="W233" s="5">
        <f>IF('Actual Game'!J233="","",'Actual Game'!J233)</f>
      </c>
      <c r="X233" s="5">
        <f>IF('App Log'!J233="","",'App Log'!J233)</f>
      </c>
      <c r="Y233" s="5">
        <f>IF(AND('Actual Game'!J233="",'App Log'!J233=""),"",IF(TRIM('Actual Game'!J233&amp;"")=TRIM('App Log'!J233&amp;""),"MATCH","DIFF"))</f>
      </c>
      <c r="Z233" s="5">
        <f>IF('Actual Game'!K233="","",'Actual Game'!K233)</f>
      </c>
      <c r="AA233" s="5">
        <f>IF('App Log'!K233="","",'App Log'!K233)</f>
      </c>
      <c r="AB233" s="5">
        <f>IF(AND('Actual Game'!K233="",'App Log'!K233=""),"",IF(TRIM('Actual Game'!K233&amp;"")=TRIM('App Log'!K233&amp;""),"MATCH","DIFF"))</f>
      </c>
      <c r="AC233" s="5">
        <f>IF(AND('Actual Game'!A233="",'App Log'!A233=""),"",IF(COUNTIF(D233:AB233,"DIFF")=0,"MATCH","CHECK"))</f>
      </c>
    </row>
    <row r="234" ht="19" customHeight="1">
      <c r="A234" s="5"/>
      <c r="B234" s="5">
        <f>IF('Actual Game'!B234="","",'Actual Game'!B234)</f>
      </c>
      <c r="C234" s="5">
        <f>IF('App Log'!B234="","",'App Log'!B234)</f>
      </c>
      <c r="D234" s="5">
        <f>IF(AND('Actual Game'!B234="",'App Log'!B234=""),"",IF(TRIM('Actual Game'!B234&amp;"")=TRIM('App Log'!B234&amp;""),"MATCH","DIFF"))</f>
      </c>
      <c r="E234" s="5">
        <f>IF('Actual Game'!C234="","",'Actual Game'!C234)</f>
      </c>
      <c r="F234" s="5">
        <f>IF('App Log'!C234="","",'App Log'!C234)</f>
      </c>
      <c r="G234" s="5">
        <f>IF(AND('Actual Game'!C234="",'App Log'!C234=""),"",IF(TRIM('Actual Game'!C234&amp;"")=TRIM('App Log'!C234&amp;""),"MATCH","DIFF"))</f>
      </c>
      <c r="H234" s="5">
        <f>IF('Actual Game'!D234="","",'Actual Game'!D234)</f>
      </c>
      <c r="I234" s="5">
        <f>IF('App Log'!D234="","",'App Log'!D234)</f>
      </c>
      <c r="J234" s="5">
        <f>IF(AND('Actual Game'!D234="",'App Log'!D234=""),"",IF(TRIM('Actual Game'!D234&amp;"")=TRIM('App Log'!D234&amp;""),"MATCH","DIFF"))</f>
      </c>
      <c r="K234" s="5">
        <f>IF('Actual Game'!E234="","",'Actual Game'!E234)</f>
      </c>
      <c r="L234" s="5">
        <f>IF('App Log'!E234="","",'App Log'!E234)</f>
      </c>
      <c r="M234" s="5">
        <f>IF(AND('Actual Game'!E234="",'App Log'!E234=""),"",IF(TRIM('Actual Game'!E234&amp;"")=TRIM('App Log'!E234&amp;""),"MATCH","DIFF"))</f>
      </c>
      <c r="N234" s="5">
        <f>IF('Actual Game'!F234="","",'Actual Game'!F234)</f>
      </c>
      <c r="O234" s="5">
        <f>IF('App Log'!F234="","",'App Log'!F234)</f>
      </c>
      <c r="P234" s="5">
        <f>IF(AND('Actual Game'!F234="",'App Log'!F234=""),"",IF(TRIM('Actual Game'!F234&amp;"")=TRIM('App Log'!F234&amp;""),"MATCH","DIFF"))</f>
      </c>
      <c r="Q234" s="5">
        <f>IF('Actual Game'!I234="","",'Actual Game'!I234)</f>
      </c>
      <c r="R234" s="5">
        <f>IF('App Log'!I234="","",'App Log'!I234)</f>
      </c>
      <c r="S234" s="5">
        <f>IF(AND('Actual Game'!I234="",'App Log'!I234=""),"",IF(TRIM('Actual Game'!I234&amp;"")=TRIM('App Log'!I234&amp;""),"MATCH","DIFF"))</f>
      </c>
      <c r="T234" s="5">
        <f>IF('Actual Game'!H234="","",'Actual Game'!H234)</f>
      </c>
      <c r="U234" s="5">
        <f>IF('App Log'!H234="","",'App Log'!H234)</f>
      </c>
      <c r="V234" s="5">
        <f>IF(AND('Actual Game'!H234="",'App Log'!H234=""),"",IF(TRIM('Actual Game'!H234&amp;"")=TRIM('App Log'!H234&amp;""),"MATCH","DIFF"))</f>
      </c>
      <c r="W234" s="5">
        <f>IF('Actual Game'!J234="","",'Actual Game'!J234)</f>
      </c>
      <c r="X234" s="5">
        <f>IF('App Log'!J234="","",'App Log'!J234)</f>
      </c>
      <c r="Y234" s="5">
        <f>IF(AND('Actual Game'!J234="",'App Log'!J234=""),"",IF(TRIM('Actual Game'!J234&amp;"")=TRIM('App Log'!J234&amp;""),"MATCH","DIFF"))</f>
      </c>
      <c r="Z234" s="5">
        <f>IF('Actual Game'!K234="","",'Actual Game'!K234)</f>
      </c>
      <c r="AA234" s="5">
        <f>IF('App Log'!K234="","",'App Log'!K234)</f>
      </c>
      <c r="AB234" s="5">
        <f>IF(AND('Actual Game'!K234="",'App Log'!K234=""),"",IF(TRIM('Actual Game'!K234&amp;"")=TRIM('App Log'!K234&amp;""),"MATCH","DIFF"))</f>
      </c>
      <c r="AC234" s="5">
        <f>IF(AND('Actual Game'!A234="",'App Log'!A234=""),"",IF(COUNTIF(D234:AB234,"DIFF")=0,"MATCH","CHECK"))</f>
      </c>
    </row>
    <row r="235" ht="19" customHeight="1">
      <c r="A235" s="5"/>
      <c r="B235" s="5">
        <f>IF('Actual Game'!B235="","",'Actual Game'!B235)</f>
      </c>
      <c r="C235" s="5">
        <f>IF('App Log'!B235="","",'App Log'!B235)</f>
      </c>
      <c r="D235" s="5">
        <f>IF(AND('Actual Game'!B235="",'App Log'!B235=""),"",IF(TRIM('Actual Game'!B235&amp;"")=TRIM('App Log'!B235&amp;""),"MATCH","DIFF"))</f>
      </c>
      <c r="E235" s="5">
        <f>IF('Actual Game'!C235="","",'Actual Game'!C235)</f>
      </c>
      <c r="F235" s="5">
        <f>IF('App Log'!C235="","",'App Log'!C235)</f>
      </c>
      <c r="G235" s="5">
        <f>IF(AND('Actual Game'!C235="",'App Log'!C235=""),"",IF(TRIM('Actual Game'!C235&amp;"")=TRIM('App Log'!C235&amp;""),"MATCH","DIFF"))</f>
      </c>
      <c r="H235" s="5">
        <f>IF('Actual Game'!D235="","",'Actual Game'!D235)</f>
      </c>
      <c r="I235" s="5">
        <f>IF('App Log'!D235="","",'App Log'!D235)</f>
      </c>
      <c r="J235" s="5">
        <f>IF(AND('Actual Game'!D235="",'App Log'!D235=""),"",IF(TRIM('Actual Game'!D235&amp;"")=TRIM('App Log'!D235&amp;""),"MATCH","DIFF"))</f>
      </c>
      <c r="K235" s="5">
        <f>IF('Actual Game'!E235="","",'Actual Game'!E235)</f>
      </c>
      <c r="L235" s="5">
        <f>IF('App Log'!E235="","",'App Log'!E235)</f>
      </c>
      <c r="M235" s="5">
        <f>IF(AND('Actual Game'!E235="",'App Log'!E235=""),"",IF(TRIM('Actual Game'!E235&amp;"")=TRIM('App Log'!E235&amp;""),"MATCH","DIFF"))</f>
      </c>
      <c r="N235" s="5">
        <f>IF('Actual Game'!F235="","",'Actual Game'!F235)</f>
      </c>
      <c r="O235" s="5">
        <f>IF('App Log'!F235="","",'App Log'!F235)</f>
      </c>
      <c r="P235" s="5">
        <f>IF(AND('Actual Game'!F235="",'App Log'!F235=""),"",IF(TRIM('Actual Game'!F235&amp;"")=TRIM('App Log'!F235&amp;""),"MATCH","DIFF"))</f>
      </c>
      <c r="Q235" s="5">
        <f>IF('Actual Game'!I235="","",'Actual Game'!I235)</f>
      </c>
      <c r="R235" s="5">
        <f>IF('App Log'!I235="","",'App Log'!I235)</f>
      </c>
      <c r="S235" s="5">
        <f>IF(AND('Actual Game'!I235="",'App Log'!I235=""),"",IF(TRIM('Actual Game'!I235&amp;"")=TRIM('App Log'!I235&amp;""),"MATCH","DIFF"))</f>
      </c>
      <c r="T235" s="5">
        <f>IF('Actual Game'!H235="","",'Actual Game'!H235)</f>
      </c>
      <c r="U235" s="5">
        <f>IF('App Log'!H235="","",'App Log'!H235)</f>
      </c>
      <c r="V235" s="5">
        <f>IF(AND('Actual Game'!H235="",'App Log'!H235=""),"",IF(TRIM('Actual Game'!H235&amp;"")=TRIM('App Log'!H235&amp;""),"MATCH","DIFF"))</f>
      </c>
      <c r="W235" s="5">
        <f>IF('Actual Game'!J235="","",'Actual Game'!J235)</f>
      </c>
      <c r="X235" s="5">
        <f>IF('App Log'!J235="","",'App Log'!J235)</f>
      </c>
      <c r="Y235" s="5">
        <f>IF(AND('Actual Game'!J235="",'App Log'!J235=""),"",IF(TRIM('Actual Game'!J235&amp;"")=TRIM('App Log'!J235&amp;""),"MATCH","DIFF"))</f>
      </c>
      <c r="Z235" s="5">
        <f>IF('Actual Game'!K235="","",'Actual Game'!K235)</f>
      </c>
      <c r="AA235" s="5">
        <f>IF('App Log'!K235="","",'App Log'!K235)</f>
      </c>
      <c r="AB235" s="5">
        <f>IF(AND('Actual Game'!K235="",'App Log'!K235=""),"",IF(TRIM('Actual Game'!K235&amp;"")=TRIM('App Log'!K235&amp;""),"MATCH","DIFF"))</f>
      </c>
      <c r="AC235" s="5">
        <f>IF(AND('Actual Game'!A235="",'App Log'!A235=""),"",IF(COUNTIF(D235:AB235,"DIFF")=0,"MATCH","CHECK"))</f>
      </c>
    </row>
    <row r="236" ht="19" customHeight="1">
      <c r="A236" s="5"/>
      <c r="B236" s="5">
        <f>IF('Actual Game'!B236="","",'Actual Game'!B236)</f>
      </c>
      <c r="C236" s="5">
        <f>IF('App Log'!B236="","",'App Log'!B236)</f>
      </c>
      <c r="D236" s="5">
        <f>IF(AND('Actual Game'!B236="",'App Log'!B236=""),"",IF(TRIM('Actual Game'!B236&amp;"")=TRIM('App Log'!B236&amp;""),"MATCH","DIFF"))</f>
      </c>
      <c r="E236" s="5">
        <f>IF('Actual Game'!C236="","",'Actual Game'!C236)</f>
      </c>
      <c r="F236" s="5">
        <f>IF('App Log'!C236="","",'App Log'!C236)</f>
      </c>
      <c r="G236" s="5">
        <f>IF(AND('Actual Game'!C236="",'App Log'!C236=""),"",IF(TRIM('Actual Game'!C236&amp;"")=TRIM('App Log'!C236&amp;""),"MATCH","DIFF"))</f>
      </c>
      <c r="H236" s="5">
        <f>IF('Actual Game'!D236="","",'Actual Game'!D236)</f>
      </c>
      <c r="I236" s="5">
        <f>IF('App Log'!D236="","",'App Log'!D236)</f>
      </c>
      <c r="J236" s="5">
        <f>IF(AND('Actual Game'!D236="",'App Log'!D236=""),"",IF(TRIM('Actual Game'!D236&amp;"")=TRIM('App Log'!D236&amp;""),"MATCH","DIFF"))</f>
      </c>
      <c r="K236" s="5">
        <f>IF('Actual Game'!E236="","",'Actual Game'!E236)</f>
      </c>
      <c r="L236" s="5">
        <f>IF('App Log'!E236="","",'App Log'!E236)</f>
      </c>
      <c r="M236" s="5">
        <f>IF(AND('Actual Game'!E236="",'App Log'!E236=""),"",IF(TRIM('Actual Game'!E236&amp;"")=TRIM('App Log'!E236&amp;""),"MATCH","DIFF"))</f>
      </c>
      <c r="N236" s="5">
        <f>IF('Actual Game'!F236="","",'Actual Game'!F236)</f>
      </c>
      <c r="O236" s="5">
        <f>IF('App Log'!F236="","",'App Log'!F236)</f>
      </c>
      <c r="P236" s="5">
        <f>IF(AND('Actual Game'!F236="",'App Log'!F236=""),"",IF(TRIM('Actual Game'!F236&amp;"")=TRIM('App Log'!F236&amp;""),"MATCH","DIFF"))</f>
      </c>
      <c r="Q236" s="5">
        <f>IF('Actual Game'!I236="","",'Actual Game'!I236)</f>
      </c>
      <c r="R236" s="5">
        <f>IF('App Log'!I236="","",'App Log'!I236)</f>
      </c>
      <c r="S236" s="5">
        <f>IF(AND('Actual Game'!I236="",'App Log'!I236=""),"",IF(TRIM('Actual Game'!I236&amp;"")=TRIM('App Log'!I236&amp;""),"MATCH","DIFF"))</f>
      </c>
      <c r="T236" s="5">
        <f>IF('Actual Game'!H236="","",'Actual Game'!H236)</f>
      </c>
      <c r="U236" s="5">
        <f>IF('App Log'!H236="","",'App Log'!H236)</f>
      </c>
      <c r="V236" s="5">
        <f>IF(AND('Actual Game'!H236="",'App Log'!H236=""),"",IF(TRIM('Actual Game'!H236&amp;"")=TRIM('App Log'!H236&amp;""),"MATCH","DIFF"))</f>
      </c>
      <c r="W236" s="5">
        <f>IF('Actual Game'!J236="","",'Actual Game'!J236)</f>
      </c>
      <c r="X236" s="5">
        <f>IF('App Log'!J236="","",'App Log'!J236)</f>
      </c>
      <c r="Y236" s="5">
        <f>IF(AND('Actual Game'!J236="",'App Log'!J236=""),"",IF(TRIM('Actual Game'!J236&amp;"")=TRIM('App Log'!J236&amp;""),"MATCH","DIFF"))</f>
      </c>
      <c r="Z236" s="5">
        <f>IF('Actual Game'!K236="","",'Actual Game'!K236)</f>
      </c>
      <c r="AA236" s="5">
        <f>IF('App Log'!K236="","",'App Log'!K236)</f>
      </c>
      <c r="AB236" s="5">
        <f>IF(AND('Actual Game'!K236="",'App Log'!K236=""),"",IF(TRIM('Actual Game'!K236&amp;"")=TRIM('App Log'!K236&amp;""),"MATCH","DIFF"))</f>
      </c>
      <c r="AC236" s="5">
        <f>IF(AND('Actual Game'!A236="",'App Log'!A236=""),"",IF(COUNTIF(D236:AB236,"DIFF")=0,"MATCH","CHECK"))</f>
      </c>
    </row>
    <row r="237" ht="19" customHeight="1">
      <c r="A237" s="5"/>
      <c r="B237" s="5">
        <f>IF('Actual Game'!B237="","",'Actual Game'!B237)</f>
      </c>
      <c r="C237" s="5">
        <f>IF('App Log'!B237="","",'App Log'!B237)</f>
      </c>
      <c r="D237" s="5">
        <f>IF(AND('Actual Game'!B237="",'App Log'!B237=""),"",IF(TRIM('Actual Game'!B237&amp;"")=TRIM('App Log'!B237&amp;""),"MATCH","DIFF"))</f>
      </c>
      <c r="E237" s="5">
        <f>IF('Actual Game'!C237="","",'Actual Game'!C237)</f>
      </c>
      <c r="F237" s="5">
        <f>IF('App Log'!C237="","",'App Log'!C237)</f>
      </c>
      <c r="G237" s="5">
        <f>IF(AND('Actual Game'!C237="",'App Log'!C237=""),"",IF(TRIM('Actual Game'!C237&amp;"")=TRIM('App Log'!C237&amp;""),"MATCH","DIFF"))</f>
      </c>
      <c r="H237" s="5">
        <f>IF('Actual Game'!D237="","",'Actual Game'!D237)</f>
      </c>
      <c r="I237" s="5">
        <f>IF('App Log'!D237="","",'App Log'!D237)</f>
      </c>
      <c r="J237" s="5">
        <f>IF(AND('Actual Game'!D237="",'App Log'!D237=""),"",IF(TRIM('Actual Game'!D237&amp;"")=TRIM('App Log'!D237&amp;""),"MATCH","DIFF"))</f>
      </c>
      <c r="K237" s="5">
        <f>IF('Actual Game'!E237="","",'Actual Game'!E237)</f>
      </c>
      <c r="L237" s="5">
        <f>IF('App Log'!E237="","",'App Log'!E237)</f>
      </c>
      <c r="M237" s="5">
        <f>IF(AND('Actual Game'!E237="",'App Log'!E237=""),"",IF(TRIM('Actual Game'!E237&amp;"")=TRIM('App Log'!E237&amp;""),"MATCH","DIFF"))</f>
      </c>
      <c r="N237" s="5">
        <f>IF('Actual Game'!F237="","",'Actual Game'!F237)</f>
      </c>
      <c r="O237" s="5">
        <f>IF('App Log'!F237="","",'App Log'!F237)</f>
      </c>
      <c r="P237" s="5">
        <f>IF(AND('Actual Game'!F237="",'App Log'!F237=""),"",IF(TRIM('Actual Game'!F237&amp;"")=TRIM('App Log'!F237&amp;""),"MATCH","DIFF"))</f>
      </c>
      <c r="Q237" s="5">
        <f>IF('Actual Game'!I237="","",'Actual Game'!I237)</f>
      </c>
      <c r="R237" s="5">
        <f>IF('App Log'!I237="","",'App Log'!I237)</f>
      </c>
      <c r="S237" s="5">
        <f>IF(AND('Actual Game'!I237="",'App Log'!I237=""),"",IF(TRIM('Actual Game'!I237&amp;"")=TRIM('App Log'!I237&amp;""),"MATCH","DIFF"))</f>
      </c>
      <c r="T237" s="5">
        <f>IF('Actual Game'!H237="","",'Actual Game'!H237)</f>
      </c>
      <c r="U237" s="5">
        <f>IF('App Log'!H237="","",'App Log'!H237)</f>
      </c>
      <c r="V237" s="5">
        <f>IF(AND('Actual Game'!H237="",'App Log'!H237=""),"",IF(TRIM('Actual Game'!H237&amp;"")=TRIM('App Log'!H237&amp;""),"MATCH","DIFF"))</f>
      </c>
      <c r="W237" s="5">
        <f>IF('Actual Game'!J237="","",'Actual Game'!J237)</f>
      </c>
      <c r="X237" s="5">
        <f>IF('App Log'!J237="","",'App Log'!J237)</f>
      </c>
      <c r="Y237" s="5">
        <f>IF(AND('Actual Game'!J237="",'App Log'!J237=""),"",IF(TRIM('Actual Game'!J237&amp;"")=TRIM('App Log'!J237&amp;""),"MATCH","DIFF"))</f>
      </c>
      <c r="Z237" s="5">
        <f>IF('Actual Game'!K237="","",'Actual Game'!K237)</f>
      </c>
      <c r="AA237" s="5">
        <f>IF('App Log'!K237="","",'App Log'!K237)</f>
      </c>
      <c r="AB237" s="5">
        <f>IF(AND('Actual Game'!K237="",'App Log'!K237=""),"",IF(TRIM('Actual Game'!K237&amp;"")=TRIM('App Log'!K237&amp;""),"MATCH","DIFF"))</f>
      </c>
      <c r="AC237" s="5">
        <f>IF(AND('Actual Game'!A237="",'App Log'!A237=""),"",IF(COUNTIF(D237:AB237,"DIFF")=0,"MATCH","CHECK"))</f>
      </c>
    </row>
    <row r="238" ht="19" customHeight="1">
      <c r="A238" s="5"/>
      <c r="B238" s="5">
        <f>IF('Actual Game'!B238="","",'Actual Game'!B238)</f>
      </c>
      <c r="C238" s="5">
        <f>IF('App Log'!B238="","",'App Log'!B238)</f>
      </c>
      <c r="D238" s="5">
        <f>IF(AND('Actual Game'!B238="",'App Log'!B238=""),"",IF(TRIM('Actual Game'!B238&amp;"")=TRIM('App Log'!B238&amp;""),"MATCH","DIFF"))</f>
      </c>
      <c r="E238" s="5">
        <f>IF('Actual Game'!C238="","",'Actual Game'!C238)</f>
      </c>
      <c r="F238" s="5">
        <f>IF('App Log'!C238="","",'App Log'!C238)</f>
      </c>
      <c r="G238" s="5">
        <f>IF(AND('Actual Game'!C238="",'App Log'!C238=""),"",IF(TRIM('Actual Game'!C238&amp;"")=TRIM('App Log'!C238&amp;""),"MATCH","DIFF"))</f>
      </c>
      <c r="H238" s="5">
        <f>IF('Actual Game'!D238="","",'Actual Game'!D238)</f>
      </c>
      <c r="I238" s="5">
        <f>IF('App Log'!D238="","",'App Log'!D238)</f>
      </c>
      <c r="J238" s="5">
        <f>IF(AND('Actual Game'!D238="",'App Log'!D238=""),"",IF(TRIM('Actual Game'!D238&amp;"")=TRIM('App Log'!D238&amp;""),"MATCH","DIFF"))</f>
      </c>
      <c r="K238" s="5">
        <f>IF('Actual Game'!E238="","",'Actual Game'!E238)</f>
      </c>
      <c r="L238" s="5">
        <f>IF('App Log'!E238="","",'App Log'!E238)</f>
      </c>
      <c r="M238" s="5">
        <f>IF(AND('Actual Game'!E238="",'App Log'!E238=""),"",IF(TRIM('Actual Game'!E238&amp;"")=TRIM('App Log'!E238&amp;""),"MATCH","DIFF"))</f>
      </c>
      <c r="N238" s="5">
        <f>IF('Actual Game'!F238="","",'Actual Game'!F238)</f>
      </c>
      <c r="O238" s="5">
        <f>IF('App Log'!F238="","",'App Log'!F238)</f>
      </c>
      <c r="P238" s="5">
        <f>IF(AND('Actual Game'!F238="",'App Log'!F238=""),"",IF(TRIM('Actual Game'!F238&amp;"")=TRIM('App Log'!F238&amp;""),"MATCH","DIFF"))</f>
      </c>
      <c r="Q238" s="5">
        <f>IF('Actual Game'!I238="","",'Actual Game'!I238)</f>
      </c>
      <c r="R238" s="5">
        <f>IF('App Log'!I238="","",'App Log'!I238)</f>
      </c>
      <c r="S238" s="5">
        <f>IF(AND('Actual Game'!I238="",'App Log'!I238=""),"",IF(TRIM('Actual Game'!I238&amp;"")=TRIM('App Log'!I238&amp;""),"MATCH","DIFF"))</f>
      </c>
      <c r="T238" s="5">
        <f>IF('Actual Game'!H238="","",'Actual Game'!H238)</f>
      </c>
      <c r="U238" s="5">
        <f>IF('App Log'!H238="","",'App Log'!H238)</f>
      </c>
      <c r="V238" s="5">
        <f>IF(AND('Actual Game'!H238="",'App Log'!H238=""),"",IF(TRIM('Actual Game'!H238&amp;"")=TRIM('App Log'!H238&amp;""),"MATCH","DIFF"))</f>
      </c>
      <c r="W238" s="5">
        <f>IF('Actual Game'!J238="","",'Actual Game'!J238)</f>
      </c>
      <c r="X238" s="5">
        <f>IF('App Log'!J238="","",'App Log'!J238)</f>
      </c>
      <c r="Y238" s="5">
        <f>IF(AND('Actual Game'!J238="",'App Log'!J238=""),"",IF(TRIM('Actual Game'!J238&amp;"")=TRIM('App Log'!J238&amp;""),"MATCH","DIFF"))</f>
      </c>
      <c r="Z238" s="5">
        <f>IF('Actual Game'!K238="","",'Actual Game'!K238)</f>
      </c>
      <c r="AA238" s="5">
        <f>IF('App Log'!K238="","",'App Log'!K238)</f>
      </c>
      <c r="AB238" s="5">
        <f>IF(AND('Actual Game'!K238="",'App Log'!K238=""),"",IF(TRIM('Actual Game'!K238&amp;"")=TRIM('App Log'!K238&amp;""),"MATCH","DIFF"))</f>
      </c>
      <c r="AC238" s="5">
        <f>IF(AND('Actual Game'!A238="",'App Log'!A238=""),"",IF(COUNTIF(D238:AB238,"DIFF")=0,"MATCH","CHECK"))</f>
      </c>
    </row>
    <row r="239" ht="19" customHeight="1">
      <c r="A239" s="5"/>
      <c r="B239" s="5">
        <f>IF('Actual Game'!B239="","",'Actual Game'!B239)</f>
      </c>
      <c r="C239" s="5">
        <f>IF('App Log'!B239="","",'App Log'!B239)</f>
      </c>
      <c r="D239" s="5">
        <f>IF(AND('Actual Game'!B239="",'App Log'!B239=""),"",IF(TRIM('Actual Game'!B239&amp;"")=TRIM('App Log'!B239&amp;""),"MATCH","DIFF"))</f>
      </c>
      <c r="E239" s="5">
        <f>IF('Actual Game'!C239="","",'Actual Game'!C239)</f>
      </c>
      <c r="F239" s="5">
        <f>IF('App Log'!C239="","",'App Log'!C239)</f>
      </c>
      <c r="G239" s="5">
        <f>IF(AND('Actual Game'!C239="",'App Log'!C239=""),"",IF(TRIM('Actual Game'!C239&amp;"")=TRIM('App Log'!C239&amp;""),"MATCH","DIFF"))</f>
      </c>
      <c r="H239" s="5">
        <f>IF('Actual Game'!D239="","",'Actual Game'!D239)</f>
      </c>
      <c r="I239" s="5">
        <f>IF('App Log'!D239="","",'App Log'!D239)</f>
      </c>
      <c r="J239" s="5">
        <f>IF(AND('Actual Game'!D239="",'App Log'!D239=""),"",IF(TRIM('Actual Game'!D239&amp;"")=TRIM('App Log'!D239&amp;""),"MATCH","DIFF"))</f>
      </c>
      <c r="K239" s="5">
        <f>IF('Actual Game'!E239="","",'Actual Game'!E239)</f>
      </c>
      <c r="L239" s="5">
        <f>IF('App Log'!E239="","",'App Log'!E239)</f>
      </c>
      <c r="M239" s="5">
        <f>IF(AND('Actual Game'!E239="",'App Log'!E239=""),"",IF(TRIM('Actual Game'!E239&amp;"")=TRIM('App Log'!E239&amp;""),"MATCH","DIFF"))</f>
      </c>
      <c r="N239" s="5">
        <f>IF('Actual Game'!F239="","",'Actual Game'!F239)</f>
      </c>
      <c r="O239" s="5">
        <f>IF('App Log'!F239="","",'App Log'!F239)</f>
      </c>
      <c r="P239" s="5">
        <f>IF(AND('Actual Game'!F239="",'App Log'!F239=""),"",IF(TRIM('Actual Game'!F239&amp;"")=TRIM('App Log'!F239&amp;""),"MATCH","DIFF"))</f>
      </c>
      <c r="Q239" s="5">
        <f>IF('Actual Game'!I239="","",'Actual Game'!I239)</f>
      </c>
      <c r="R239" s="5">
        <f>IF('App Log'!I239="","",'App Log'!I239)</f>
      </c>
      <c r="S239" s="5">
        <f>IF(AND('Actual Game'!I239="",'App Log'!I239=""),"",IF(TRIM('Actual Game'!I239&amp;"")=TRIM('App Log'!I239&amp;""),"MATCH","DIFF"))</f>
      </c>
      <c r="T239" s="5">
        <f>IF('Actual Game'!H239="","",'Actual Game'!H239)</f>
      </c>
      <c r="U239" s="5">
        <f>IF('App Log'!H239="","",'App Log'!H239)</f>
      </c>
      <c r="V239" s="5">
        <f>IF(AND('Actual Game'!H239="",'App Log'!H239=""),"",IF(TRIM('Actual Game'!H239&amp;"")=TRIM('App Log'!H239&amp;""),"MATCH","DIFF"))</f>
      </c>
      <c r="W239" s="5">
        <f>IF('Actual Game'!J239="","",'Actual Game'!J239)</f>
      </c>
      <c r="X239" s="5">
        <f>IF('App Log'!J239="","",'App Log'!J239)</f>
      </c>
      <c r="Y239" s="5">
        <f>IF(AND('Actual Game'!J239="",'App Log'!J239=""),"",IF(TRIM('Actual Game'!J239&amp;"")=TRIM('App Log'!J239&amp;""),"MATCH","DIFF"))</f>
      </c>
      <c r="Z239" s="5">
        <f>IF('Actual Game'!K239="","",'Actual Game'!K239)</f>
      </c>
      <c r="AA239" s="5">
        <f>IF('App Log'!K239="","",'App Log'!K239)</f>
      </c>
      <c r="AB239" s="5">
        <f>IF(AND('Actual Game'!K239="",'App Log'!K239=""),"",IF(TRIM('Actual Game'!K239&amp;"")=TRIM('App Log'!K239&amp;""),"MATCH","DIFF"))</f>
      </c>
      <c r="AC239" s="5">
        <f>IF(AND('Actual Game'!A239="",'App Log'!A239=""),"",IF(COUNTIF(D239:AB239,"DIFF")=0,"MATCH","CHECK"))</f>
      </c>
    </row>
    <row r="240" ht="19" customHeight="1">
      <c r="A240" s="5"/>
      <c r="B240" s="5">
        <f>IF('Actual Game'!B240="","",'Actual Game'!B240)</f>
      </c>
      <c r="C240" s="5">
        <f>IF('App Log'!B240="","",'App Log'!B240)</f>
      </c>
      <c r="D240" s="5">
        <f>IF(AND('Actual Game'!B240="",'App Log'!B240=""),"",IF(TRIM('Actual Game'!B240&amp;"")=TRIM('App Log'!B240&amp;""),"MATCH","DIFF"))</f>
      </c>
      <c r="E240" s="5">
        <f>IF('Actual Game'!C240="","",'Actual Game'!C240)</f>
      </c>
      <c r="F240" s="5">
        <f>IF('App Log'!C240="","",'App Log'!C240)</f>
      </c>
      <c r="G240" s="5">
        <f>IF(AND('Actual Game'!C240="",'App Log'!C240=""),"",IF(TRIM('Actual Game'!C240&amp;"")=TRIM('App Log'!C240&amp;""),"MATCH","DIFF"))</f>
      </c>
      <c r="H240" s="5">
        <f>IF('Actual Game'!D240="","",'Actual Game'!D240)</f>
      </c>
      <c r="I240" s="5">
        <f>IF('App Log'!D240="","",'App Log'!D240)</f>
      </c>
      <c r="J240" s="5">
        <f>IF(AND('Actual Game'!D240="",'App Log'!D240=""),"",IF(TRIM('Actual Game'!D240&amp;"")=TRIM('App Log'!D240&amp;""),"MATCH","DIFF"))</f>
      </c>
      <c r="K240" s="5">
        <f>IF('Actual Game'!E240="","",'Actual Game'!E240)</f>
      </c>
      <c r="L240" s="5">
        <f>IF('App Log'!E240="","",'App Log'!E240)</f>
      </c>
      <c r="M240" s="5">
        <f>IF(AND('Actual Game'!E240="",'App Log'!E240=""),"",IF(TRIM('Actual Game'!E240&amp;"")=TRIM('App Log'!E240&amp;""),"MATCH","DIFF"))</f>
      </c>
      <c r="N240" s="5">
        <f>IF('Actual Game'!F240="","",'Actual Game'!F240)</f>
      </c>
      <c r="O240" s="5">
        <f>IF('App Log'!F240="","",'App Log'!F240)</f>
      </c>
      <c r="P240" s="5">
        <f>IF(AND('Actual Game'!F240="",'App Log'!F240=""),"",IF(TRIM('Actual Game'!F240&amp;"")=TRIM('App Log'!F240&amp;""),"MATCH","DIFF"))</f>
      </c>
      <c r="Q240" s="5">
        <f>IF('Actual Game'!I240="","",'Actual Game'!I240)</f>
      </c>
      <c r="R240" s="5">
        <f>IF('App Log'!I240="","",'App Log'!I240)</f>
      </c>
      <c r="S240" s="5">
        <f>IF(AND('Actual Game'!I240="",'App Log'!I240=""),"",IF(TRIM('Actual Game'!I240&amp;"")=TRIM('App Log'!I240&amp;""),"MATCH","DIFF"))</f>
      </c>
      <c r="T240" s="5">
        <f>IF('Actual Game'!H240="","",'Actual Game'!H240)</f>
      </c>
      <c r="U240" s="5">
        <f>IF('App Log'!H240="","",'App Log'!H240)</f>
      </c>
      <c r="V240" s="5">
        <f>IF(AND('Actual Game'!H240="",'App Log'!H240=""),"",IF(TRIM('Actual Game'!H240&amp;"")=TRIM('App Log'!H240&amp;""),"MATCH","DIFF"))</f>
      </c>
      <c r="W240" s="5">
        <f>IF('Actual Game'!J240="","",'Actual Game'!J240)</f>
      </c>
      <c r="X240" s="5">
        <f>IF('App Log'!J240="","",'App Log'!J240)</f>
      </c>
      <c r="Y240" s="5">
        <f>IF(AND('Actual Game'!J240="",'App Log'!J240=""),"",IF(TRIM('Actual Game'!J240&amp;"")=TRIM('App Log'!J240&amp;""),"MATCH","DIFF"))</f>
      </c>
      <c r="Z240" s="5">
        <f>IF('Actual Game'!K240="","",'Actual Game'!K240)</f>
      </c>
      <c r="AA240" s="5">
        <f>IF('App Log'!K240="","",'App Log'!K240)</f>
      </c>
      <c r="AB240" s="5">
        <f>IF(AND('Actual Game'!K240="",'App Log'!K240=""),"",IF(TRIM('Actual Game'!K240&amp;"")=TRIM('App Log'!K240&amp;""),"MATCH","DIFF"))</f>
      </c>
      <c r="AC240" s="5">
        <f>IF(AND('Actual Game'!A240="",'App Log'!A240=""),"",IF(COUNTIF(D240:AB240,"DIFF")=0,"MATCH","CHECK"))</f>
      </c>
    </row>
    <row r="241" ht="19" customHeight="1">
      <c r="A241" s="5"/>
      <c r="B241" s="5">
        <f>IF('Actual Game'!B241="","",'Actual Game'!B241)</f>
      </c>
      <c r="C241" s="5">
        <f>IF('App Log'!B241="","",'App Log'!B241)</f>
      </c>
      <c r="D241" s="5">
        <f>IF(AND('Actual Game'!B241="",'App Log'!B241=""),"",IF(TRIM('Actual Game'!B241&amp;"")=TRIM('App Log'!B241&amp;""),"MATCH","DIFF"))</f>
      </c>
      <c r="E241" s="5">
        <f>IF('Actual Game'!C241="","",'Actual Game'!C241)</f>
      </c>
      <c r="F241" s="5">
        <f>IF('App Log'!C241="","",'App Log'!C241)</f>
      </c>
      <c r="G241" s="5">
        <f>IF(AND('Actual Game'!C241="",'App Log'!C241=""),"",IF(TRIM('Actual Game'!C241&amp;"")=TRIM('App Log'!C241&amp;""),"MATCH","DIFF"))</f>
      </c>
      <c r="H241" s="5">
        <f>IF('Actual Game'!D241="","",'Actual Game'!D241)</f>
      </c>
      <c r="I241" s="5">
        <f>IF('App Log'!D241="","",'App Log'!D241)</f>
      </c>
      <c r="J241" s="5">
        <f>IF(AND('Actual Game'!D241="",'App Log'!D241=""),"",IF(TRIM('Actual Game'!D241&amp;"")=TRIM('App Log'!D241&amp;""),"MATCH","DIFF"))</f>
      </c>
      <c r="K241" s="5">
        <f>IF('Actual Game'!E241="","",'Actual Game'!E241)</f>
      </c>
      <c r="L241" s="5">
        <f>IF('App Log'!E241="","",'App Log'!E241)</f>
      </c>
      <c r="M241" s="5">
        <f>IF(AND('Actual Game'!E241="",'App Log'!E241=""),"",IF(TRIM('Actual Game'!E241&amp;"")=TRIM('App Log'!E241&amp;""),"MATCH","DIFF"))</f>
      </c>
      <c r="N241" s="5">
        <f>IF('Actual Game'!F241="","",'Actual Game'!F241)</f>
      </c>
      <c r="O241" s="5">
        <f>IF('App Log'!F241="","",'App Log'!F241)</f>
      </c>
      <c r="P241" s="5">
        <f>IF(AND('Actual Game'!F241="",'App Log'!F241=""),"",IF(TRIM('Actual Game'!F241&amp;"")=TRIM('App Log'!F241&amp;""),"MATCH","DIFF"))</f>
      </c>
      <c r="Q241" s="5">
        <f>IF('Actual Game'!I241="","",'Actual Game'!I241)</f>
      </c>
      <c r="R241" s="5">
        <f>IF('App Log'!I241="","",'App Log'!I241)</f>
      </c>
      <c r="S241" s="5">
        <f>IF(AND('Actual Game'!I241="",'App Log'!I241=""),"",IF(TRIM('Actual Game'!I241&amp;"")=TRIM('App Log'!I241&amp;""),"MATCH","DIFF"))</f>
      </c>
      <c r="T241" s="5">
        <f>IF('Actual Game'!H241="","",'Actual Game'!H241)</f>
      </c>
      <c r="U241" s="5">
        <f>IF('App Log'!H241="","",'App Log'!H241)</f>
      </c>
      <c r="V241" s="5">
        <f>IF(AND('Actual Game'!H241="",'App Log'!H241=""),"",IF(TRIM('Actual Game'!H241&amp;"")=TRIM('App Log'!H241&amp;""),"MATCH","DIFF"))</f>
      </c>
      <c r="W241" s="5">
        <f>IF('Actual Game'!J241="","",'Actual Game'!J241)</f>
      </c>
      <c r="X241" s="5">
        <f>IF('App Log'!J241="","",'App Log'!J241)</f>
      </c>
      <c r="Y241" s="5">
        <f>IF(AND('Actual Game'!J241="",'App Log'!J241=""),"",IF(TRIM('Actual Game'!J241&amp;"")=TRIM('App Log'!J241&amp;""),"MATCH","DIFF"))</f>
      </c>
      <c r="Z241" s="5">
        <f>IF('Actual Game'!K241="","",'Actual Game'!K241)</f>
      </c>
      <c r="AA241" s="5">
        <f>IF('App Log'!K241="","",'App Log'!K241)</f>
      </c>
      <c r="AB241" s="5">
        <f>IF(AND('Actual Game'!K241="",'App Log'!K241=""),"",IF(TRIM('Actual Game'!K241&amp;"")=TRIM('App Log'!K241&amp;""),"MATCH","DIFF"))</f>
      </c>
      <c r="AC241" s="5">
        <f>IF(AND('Actual Game'!A241="",'App Log'!A241=""),"",IF(COUNTIF(D241:AB241,"DIFF")=0,"MATCH","CHECK"))</f>
      </c>
    </row>
    <row r="242" ht="19" customHeight="1">
      <c r="A242" s="5"/>
      <c r="B242" s="5">
        <f>IF('Actual Game'!B242="","",'Actual Game'!B242)</f>
      </c>
      <c r="C242" s="5">
        <f>IF('App Log'!B242="","",'App Log'!B242)</f>
      </c>
      <c r="D242" s="5">
        <f>IF(AND('Actual Game'!B242="",'App Log'!B242=""),"",IF(TRIM('Actual Game'!B242&amp;"")=TRIM('App Log'!B242&amp;""),"MATCH","DIFF"))</f>
      </c>
      <c r="E242" s="5">
        <f>IF('Actual Game'!C242="","",'Actual Game'!C242)</f>
      </c>
      <c r="F242" s="5">
        <f>IF('App Log'!C242="","",'App Log'!C242)</f>
      </c>
      <c r="G242" s="5">
        <f>IF(AND('Actual Game'!C242="",'App Log'!C242=""),"",IF(TRIM('Actual Game'!C242&amp;"")=TRIM('App Log'!C242&amp;""),"MATCH","DIFF"))</f>
      </c>
      <c r="H242" s="5">
        <f>IF('Actual Game'!D242="","",'Actual Game'!D242)</f>
      </c>
      <c r="I242" s="5">
        <f>IF('App Log'!D242="","",'App Log'!D242)</f>
      </c>
      <c r="J242" s="5">
        <f>IF(AND('Actual Game'!D242="",'App Log'!D242=""),"",IF(TRIM('Actual Game'!D242&amp;"")=TRIM('App Log'!D242&amp;""),"MATCH","DIFF"))</f>
      </c>
      <c r="K242" s="5">
        <f>IF('Actual Game'!E242="","",'Actual Game'!E242)</f>
      </c>
      <c r="L242" s="5">
        <f>IF('App Log'!E242="","",'App Log'!E242)</f>
      </c>
      <c r="M242" s="5">
        <f>IF(AND('Actual Game'!E242="",'App Log'!E242=""),"",IF(TRIM('Actual Game'!E242&amp;"")=TRIM('App Log'!E242&amp;""),"MATCH","DIFF"))</f>
      </c>
      <c r="N242" s="5">
        <f>IF('Actual Game'!F242="","",'Actual Game'!F242)</f>
      </c>
      <c r="O242" s="5">
        <f>IF('App Log'!F242="","",'App Log'!F242)</f>
      </c>
      <c r="P242" s="5">
        <f>IF(AND('Actual Game'!F242="",'App Log'!F242=""),"",IF(TRIM('Actual Game'!F242&amp;"")=TRIM('App Log'!F242&amp;""),"MATCH","DIFF"))</f>
      </c>
      <c r="Q242" s="5">
        <f>IF('Actual Game'!I242="","",'Actual Game'!I242)</f>
      </c>
      <c r="R242" s="5">
        <f>IF('App Log'!I242="","",'App Log'!I242)</f>
      </c>
      <c r="S242" s="5">
        <f>IF(AND('Actual Game'!I242="",'App Log'!I242=""),"",IF(TRIM('Actual Game'!I242&amp;"")=TRIM('App Log'!I242&amp;""),"MATCH","DIFF"))</f>
      </c>
      <c r="T242" s="5">
        <f>IF('Actual Game'!H242="","",'Actual Game'!H242)</f>
      </c>
      <c r="U242" s="5">
        <f>IF('App Log'!H242="","",'App Log'!H242)</f>
      </c>
      <c r="V242" s="5">
        <f>IF(AND('Actual Game'!H242="",'App Log'!H242=""),"",IF(TRIM('Actual Game'!H242&amp;"")=TRIM('App Log'!H242&amp;""),"MATCH","DIFF"))</f>
      </c>
      <c r="W242" s="5">
        <f>IF('Actual Game'!J242="","",'Actual Game'!J242)</f>
      </c>
      <c r="X242" s="5">
        <f>IF('App Log'!J242="","",'App Log'!J242)</f>
      </c>
      <c r="Y242" s="5">
        <f>IF(AND('Actual Game'!J242="",'App Log'!J242=""),"",IF(TRIM('Actual Game'!J242&amp;"")=TRIM('App Log'!J242&amp;""),"MATCH","DIFF"))</f>
      </c>
      <c r="Z242" s="5">
        <f>IF('Actual Game'!K242="","",'Actual Game'!K242)</f>
      </c>
      <c r="AA242" s="5">
        <f>IF('App Log'!K242="","",'App Log'!K242)</f>
      </c>
      <c r="AB242" s="5">
        <f>IF(AND('Actual Game'!K242="",'App Log'!K242=""),"",IF(TRIM('Actual Game'!K242&amp;"")=TRIM('App Log'!K242&amp;""),"MATCH","DIFF"))</f>
      </c>
      <c r="AC242" s="5">
        <f>IF(AND('Actual Game'!A242="",'App Log'!A242=""),"",IF(COUNTIF(D242:AB242,"DIFF")=0,"MATCH","CHECK"))</f>
      </c>
    </row>
    <row r="243" ht="19" customHeight="1">
      <c r="A243" s="5"/>
      <c r="B243" s="5">
        <f>IF('Actual Game'!B243="","",'Actual Game'!B243)</f>
      </c>
      <c r="C243" s="5">
        <f>IF('App Log'!B243="","",'App Log'!B243)</f>
      </c>
      <c r="D243" s="5">
        <f>IF(AND('Actual Game'!B243="",'App Log'!B243=""),"",IF(TRIM('Actual Game'!B243&amp;"")=TRIM('App Log'!B243&amp;""),"MATCH","DIFF"))</f>
      </c>
      <c r="E243" s="5">
        <f>IF('Actual Game'!C243="","",'Actual Game'!C243)</f>
      </c>
      <c r="F243" s="5">
        <f>IF('App Log'!C243="","",'App Log'!C243)</f>
      </c>
      <c r="G243" s="5">
        <f>IF(AND('Actual Game'!C243="",'App Log'!C243=""),"",IF(TRIM('Actual Game'!C243&amp;"")=TRIM('App Log'!C243&amp;""),"MATCH","DIFF"))</f>
      </c>
      <c r="H243" s="5">
        <f>IF('Actual Game'!D243="","",'Actual Game'!D243)</f>
      </c>
      <c r="I243" s="5">
        <f>IF('App Log'!D243="","",'App Log'!D243)</f>
      </c>
      <c r="J243" s="5">
        <f>IF(AND('Actual Game'!D243="",'App Log'!D243=""),"",IF(TRIM('Actual Game'!D243&amp;"")=TRIM('App Log'!D243&amp;""),"MATCH","DIFF"))</f>
      </c>
      <c r="K243" s="5">
        <f>IF('Actual Game'!E243="","",'Actual Game'!E243)</f>
      </c>
      <c r="L243" s="5">
        <f>IF('App Log'!E243="","",'App Log'!E243)</f>
      </c>
      <c r="M243" s="5">
        <f>IF(AND('Actual Game'!E243="",'App Log'!E243=""),"",IF(TRIM('Actual Game'!E243&amp;"")=TRIM('App Log'!E243&amp;""),"MATCH","DIFF"))</f>
      </c>
      <c r="N243" s="5">
        <f>IF('Actual Game'!F243="","",'Actual Game'!F243)</f>
      </c>
      <c r="O243" s="5">
        <f>IF('App Log'!F243="","",'App Log'!F243)</f>
      </c>
      <c r="P243" s="5">
        <f>IF(AND('Actual Game'!F243="",'App Log'!F243=""),"",IF(TRIM('Actual Game'!F243&amp;"")=TRIM('App Log'!F243&amp;""),"MATCH","DIFF"))</f>
      </c>
      <c r="Q243" s="5">
        <f>IF('Actual Game'!I243="","",'Actual Game'!I243)</f>
      </c>
      <c r="R243" s="5">
        <f>IF('App Log'!I243="","",'App Log'!I243)</f>
      </c>
      <c r="S243" s="5">
        <f>IF(AND('Actual Game'!I243="",'App Log'!I243=""),"",IF(TRIM('Actual Game'!I243&amp;"")=TRIM('App Log'!I243&amp;""),"MATCH","DIFF"))</f>
      </c>
      <c r="T243" s="5">
        <f>IF('Actual Game'!H243="","",'Actual Game'!H243)</f>
      </c>
      <c r="U243" s="5">
        <f>IF('App Log'!H243="","",'App Log'!H243)</f>
      </c>
      <c r="V243" s="5">
        <f>IF(AND('Actual Game'!H243="",'App Log'!H243=""),"",IF(TRIM('Actual Game'!H243&amp;"")=TRIM('App Log'!H243&amp;""),"MATCH","DIFF"))</f>
      </c>
      <c r="W243" s="5">
        <f>IF('Actual Game'!J243="","",'Actual Game'!J243)</f>
      </c>
      <c r="X243" s="5">
        <f>IF('App Log'!J243="","",'App Log'!J243)</f>
      </c>
      <c r="Y243" s="5">
        <f>IF(AND('Actual Game'!J243="",'App Log'!J243=""),"",IF(TRIM('Actual Game'!J243&amp;"")=TRIM('App Log'!J243&amp;""),"MATCH","DIFF"))</f>
      </c>
      <c r="Z243" s="5">
        <f>IF('Actual Game'!K243="","",'Actual Game'!K243)</f>
      </c>
      <c r="AA243" s="5">
        <f>IF('App Log'!K243="","",'App Log'!K243)</f>
      </c>
      <c r="AB243" s="5">
        <f>IF(AND('Actual Game'!K243="",'App Log'!K243=""),"",IF(TRIM('Actual Game'!K243&amp;"")=TRIM('App Log'!K243&amp;""),"MATCH","DIFF"))</f>
      </c>
      <c r="AC243" s="5">
        <f>IF(AND('Actual Game'!A243="",'App Log'!A243=""),"",IF(COUNTIF(D243:AB243,"DIFF")=0,"MATCH","CHECK"))</f>
      </c>
    </row>
    <row r="244" ht="19" customHeight="1">
      <c r="A244" s="5"/>
      <c r="B244" s="5">
        <f>IF('Actual Game'!B244="","",'Actual Game'!B244)</f>
      </c>
      <c r="C244" s="5">
        <f>IF('App Log'!B244="","",'App Log'!B244)</f>
      </c>
      <c r="D244" s="5">
        <f>IF(AND('Actual Game'!B244="",'App Log'!B244=""),"",IF(TRIM('Actual Game'!B244&amp;"")=TRIM('App Log'!B244&amp;""),"MATCH","DIFF"))</f>
      </c>
      <c r="E244" s="5">
        <f>IF('Actual Game'!C244="","",'Actual Game'!C244)</f>
      </c>
      <c r="F244" s="5">
        <f>IF('App Log'!C244="","",'App Log'!C244)</f>
      </c>
      <c r="G244" s="5">
        <f>IF(AND('Actual Game'!C244="",'App Log'!C244=""),"",IF(TRIM('Actual Game'!C244&amp;"")=TRIM('App Log'!C244&amp;""),"MATCH","DIFF"))</f>
      </c>
      <c r="H244" s="5">
        <f>IF('Actual Game'!D244="","",'Actual Game'!D244)</f>
      </c>
      <c r="I244" s="5">
        <f>IF('App Log'!D244="","",'App Log'!D244)</f>
      </c>
      <c r="J244" s="5">
        <f>IF(AND('Actual Game'!D244="",'App Log'!D244=""),"",IF(TRIM('Actual Game'!D244&amp;"")=TRIM('App Log'!D244&amp;""),"MATCH","DIFF"))</f>
      </c>
      <c r="K244" s="5">
        <f>IF('Actual Game'!E244="","",'Actual Game'!E244)</f>
      </c>
      <c r="L244" s="5">
        <f>IF('App Log'!E244="","",'App Log'!E244)</f>
      </c>
      <c r="M244" s="5">
        <f>IF(AND('Actual Game'!E244="",'App Log'!E244=""),"",IF(TRIM('Actual Game'!E244&amp;"")=TRIM('App Log'!E244&amp;""),"MATCH","DIFF"))</f>
      </c>
      <c r="N244" s="5">
        <f>IF('Actual Game'!F244="","",'Actual Game'!F244)</f>
      </c>
      <c r="O244" s="5">
        <f>IF('App Log'!F244="","",'App Log'!F244)</f>
      </c>
      <c r="P244" s="5">
        <f>IF(AND('Actual Game'!F244="",'App Log'!F244=""),"",IF(TRIM('Actual Game'!F244&amp;"")=TRIM('App Log'!F244&amp;""),"MATCH","DIFF"))</f>
      </c>
      <c r="Q244" s="5">
        <f>IF('Actual Game'!I244="","",'Actual Game'!I244)</f>
      </c>
      <c r="R244" s="5">
        <f>IF('App Log'!I244="","",'App Log'!I244)</f>
      </c>
      <c r="S244" s="5">
        <f>IF(AND('Actual Game'!I244="",'App Log'!I244=""),"",IF(TRIM('Actual Game'!I244&amp;"")=TRIM('App Log'!I244&amp;""),"MATCH","DIFF"))</f>
      </c>
      <c r="T244" s="5">
        <f>IF('Actual Game'!H244="","",'Actual Game'!H244)</f>
      </c>
      <c r="U244" s="5">
        <f>IF('App Log'!H244="","",'App Log'!H244)</f>
      </c>
      <c r="V244" s="5">
        <f>IF(AND('Actual Game'!H244="",'App Log'!H244=""),"",IF(TRIM('Actual Game'!H244&amp;"")=TRIM('App Log'!H244&amp;""),"MATCH","DIFF"))</f>
      </c>
      <c r="W244" s="5">
        <f>IF('Actual Game'!J244="","",'Actual Game'!J244)</f>
      </c>
      <c r="X244" s="5">
        <f>IF('App Log'!J244="","",'App Log'!J244)</f>
      </c>
      <c r="Y244" s="5">
        <f>IF(AND('Actual Game'!J244="",'App Log'!J244=""),"",IF(TRIM('Actual Game'!J244&amp;"")=TRIM('App Log'!J244&amp;""),"MATCH","DIFF"))</f>
      </c>
      <c r="Z244" s="5">
        <f>IF('Actual Game'!K244="","",'Actual Game'!K244)</f>
      </c>
      <c r="AA244" s="5">
        <f>IF('App Log'!K244="","",'App Log'!K244)</f>
      </c>
      <c r="AB244" s="5">
        <f>IF(AND('Actual Game'!K244="",'App Log'!K244=""),"",IF(TRIM('Actual Game'!K244&amp;"")=TRIM('App Log'!K244&amp;""),"MATCH","DIFF"))</f>
      </c>
      <c r="AC244" s="5">
        <f>IF(AND('Actual Game'!A244="",'App Log'!A244=""),"",IF(COUNTIF(D244:AB244,"DIFF")=0,"MATCH","CHECK"))</f>
      </c>
    </row>
    <row r="245" ht="19" customHeight="1">
      <c r="A245" s="5"/>
      <c r="B245" s="5">
        <f>IF('Actual Game'!B245="","",'Actual Game'!B245)</f>
      </c>
      <c r="C245" s="5">
        <f>IF('App Log'!B245="","",'App Log'!B245)</f>
      </c>
      <c r="D245" s="5">
        <f>IF(AND('Actual Game'!B245="",'App Log'!B245=""),"",IF(TRIM('Actual Game'!B245&amp;"")=TRIM('App Log'!B245&amp;""),"MATCH","DIFF"))</f>
      </c>
      <c r="E245" s="5">
        <f>IF('Actual Game'!C245="","",'Actual Game'!C245)</f>
      </c>
      <c r="F245" s="5">
        <f>IF('App Log'!C245="","",'App Log'!C245)</f>
      </c>
      <c r="G245" s="5">
        <f>IF(AND('Actual Game'!C245="",'App Log'!C245=""),"",IF(TRIM('Actual Game'!C245&amp;"")=TRIM('App Log'!C245&amp;""),"MATCH","DIFF"))</f>
      </c>
      <c r="H245" s="5">
        <f>IF('Actual Game'!D245="","",'Actual Game'!D245)</f>
      </c>
      <c r="I245" s="5">
        <f>IF('App Log'!D245="","",'App Log'!D245)</f>
      </c>
      <c r="J245" s="5">
        <f>IF(AND('Actual Game'!D245="",'App Log'!D245=""),"",IF(TRIM('Actual Game'!D245&amp;"")=TRIM('App Log'!D245&amp;""),"MATCH","DIFF"))</f>
      </c>
      <c r="K245" s="5">
        <f>IF('Actual Game'!E245="","",'Actual Game'!E245)</f>
      </c>
      <c r="L245" s="5">
        <f>IF('App Log'!E245="","",'App Log'!E245)</f>
      </c>
      <c r="M245" s="5">
        <f>IF(AND('Actual Game'!E245="",'App Log'!E245=""),"",IF(TRIM('Actual Game'!E245&amp;"")=TRIM('App Log'!E245&amp;""),"MATCH","DIFF"))</f>
      </c>
      <c r="N245" s="5">
        <f>IF('Actual Game'!F245="","",'Actual Game'!F245)</f>
      </c>
      <c r="O245" s="5">
        <f>IF('App Log'!F245="","",'App Log'!F245)</f>
      </c>
      <c r="P245" s="5">
        <f>IF(AND('Actual Game'!F245="",'App Log'!F245=""),"",IF(TRIM('Actual Game'!F245&amp;"")=TRIM('App Log'!F245&amp;""),"MATCH","DIFF"))</f>
      </c>
      <c r="Q245" s="5">
        <f>IF('Actual Game'!I245="","",'Actual Game'!I245)</f>
      </c>
      <c r="R245" s="5">
        <f>IF('App Log'!I245="","",'App Log'!I245)</f>
      </c>
      <c r="S245" s="5">
        <f>IF(AND('Actual Game'!I245="",'App Log'!I245=""),"",IF(TRIM('Actual Game'!I245&amp;"")=TRIM('App Log'!I245&amp;""),"MATCH","DIFF"))</f>
      </c>
      <c r="T245" s="5">
        <f>IF('Actual Game'!H245="","",'Actual Game'!H245)</f>
      </c>
      <c r="U245" s="5">
        <f>IF('App Log'!H245="","",'App Log'!H245)</f>
      </c>
      <c r="V245" s="5">
        <f>IF(AND('Actual Game'!H245="",'App Log'!H245=""),"",IF(TRIM('Actual Game'!H245&amp;"")=TRIM('App Log'!H245&amp;""),"MATCH","DIFF"))</f>
      </c>
      <c r="W245" s="5">
        <f>IF('Actual Game'!J245="","",'Actual Game'!J245)</f>
      </c>
      <c r="X245" s="5">
        <f>IF('App Log'!J245="","",'App Log'!J245)</f>
      </c>
      <c r="Y245" s="5">
        <f>IF(AND('Actual Game'!J245="",'App Log'!J245=""),"",IF(TRIM('Actual Game'!J245&amp;"")=TRIM('App Log'!J245&amp;""),"MATCH","DIFF"))</f>
      </c>
      <c r="Z245" s="5">
        <f>IF('Actual Game'!K245="","",'Actual Game'!K245)</f>
      </c>
      <c r="AA245" s="5">
        <f>IF('App Log'!K245="","",'App Log'!K245)</f>
      </c>
      <c r="AB245" s="5">
        <f>IF(AND('Actual Game'!K245="",'App Log'!K245=""),"",IF(TRIM('Actual Game'!K245&amp;"")=TRIM('App Log'!K245&amp;""),"MATCH","DIFF"))</f>
      </c>
      <c r="AC245" s="5">
        <f>IF(AND('Actual Game'!A245="",'App Log'!A245=""),"",IF(COUNTIF(D245:AB245,"DIFF")=0,"MATCH","CHECK"))</f>
      </c>
    </row>
    <row r="246" ht="19" customHeight="1">
      <c r="A246" s="5"/>
      <c r="B246" s="5">
        <f>IF('Actual Game'!B246="","",'Actual Game'!B246)</f>
      </c>
      <c r="C246" s="5">
        <f>IF('App Log'!B246="","",'App Log'!B246)</f>
      </c>
      <c r="D246" s="5">
        <f>IF(AND('Actual Game'!B246="",'App Log'!B246=""),"",IF(TRIM('Actual Game'!B246&amp;"")=TRIM('App Log'!B246&amp;""),"MATCH","DIFF"))</f>
      </c>
      <c r="E246" s="5">
        <f>IF('Actual Game'!C246="","",'Actual Game'!C246)</f>
      </c>
      <c r="F246" s="5">
        <f>IF('App Log'!C246="","",'App Log'!C246)</f>
      </c>
      <c r="G246" s="5">
        <f>IF(AND('Actual Game'!C246="",'App Log'!C246=""),"",IF(TRIM('Actual Game'!C246&amp;"")=TRIM('App Log'!C246&amp;""),"MATCH","DIFF"))</f>
      </c>
      <c r="H246" s="5">
        <f>IF('Actual Game'!D246="","",'Actual Game'!D246)</f>
      </c>
      <c r="I246" s="5">
        <f>IF('App Log'!D246="","",'App Log'!D246)</f>
      </c>
      <c r="J246" s="5">
        <f>IF(AND('Actual Game'!D246="",'App Log'!D246=""),"",IF(TRIM('Actual Game'!D246&amp;"")=TRIM('App Log'!D246&amp;""),"MATCH","DIFF"))</f>
      </c>
      <c r="K246" s="5">
        <f>IF('Actual Game'!E246="","",'Actual Game'!E246)</f>
      </c>
      <c r="L246" s="5">
        <f>IF('App Log'!E246="","",'App Log'!E246)</f>
      </c>
      <c r="M246" s="5">
        <f>IF(AND('Actual Game'!E246="",'App Log'!E246=""),"",IF(TRIM('Actual Game'!E246&amp;"")=TRIM('App Log'!E246&amp;""),"MATCH","DIFF"))</f>
      </c>
      <c r="N246" s="5">
        <f>IF('Actual Game'!F246="","",'Actual Game'!F246)</f>
      </c>
      <c r="O246" s="5">
        <f>IF('App Log'!F246="","",'App Log'!F246)</f>
      </c>
      <c r="P246" s="5">
        <f>IF(AND('Actual Game'!F246="",'App Log'!F246=""),"",IF(TRIM('Actual Game'!F246&amp;"")=TRIM('App Log'!F246&amp;""),"MATCH","DIFF"))</f>
      </c>
      <c r="Q246" s="5">
        <f>IF('Actual Game'!I246="","",'Actual Game'!I246)</f>
      </c>
      <c r="R246" s="5">
        <f>IF('App Log'!I246="","",'App Log'!I246)</f>
      </c>
      <c r="S246" s="5">
        <f>IF(AND('Actual Game'!I246="",'App Log'!I246=""),"",IF(TRIM('Actual Game'!I246&amp;"")=TRIM('App Log'!I246&amp;""),"MATCH","DIFF"))</f>
      </c>
      <c r="T246" s="5">
        <f>IF('Actual Game'!H246="","",'Actual Game'!H246)</f>
      </c>
      <c r="U246" s="5">
        <f>IF('App Log'!H246="","",'App Log'!H246)</f>
      </c>
      <c r="V246" s="5">
        <f>IF(AND('Actual Game'!H246="",'App Log'!H246=""),"",IF(TRIM('Actual Game'!H246&amp;"")=TRIM('App Log'!H246&amp;""),"MATCH","DIFF"))</f>
      </c>
      <c r="W246" s="5">
        <f>IF('Actual Game'!J246="","",'Actual Game'!J246)</f>
      </c>
      <c r="X246" s="5">
        <f>IF('App Log'!J246="","",'App Log'!J246)</f>
      </c>
      <c r="Y246" s="5">
        <f>IF(AND('Actual Game'!J246="",'App Log'!J246=""),"",IF(TRIM('Actual Game'!J246&amp;"")=TRIM('App Log'!J246&amp;""),"MATCH","DIFF"))</f>
      </c>
      <c r="Z246" s="5">
        <f>IF('Actual Game'!K246="","",'Actual Game'!K246)</f>
      </c>
      <c r="AA246" s="5">
        <f>IF('App Log'!K246="","",'App Log'!K246)</f>
      </c>
      <c r="AB246" s="5">
        <f>IF(AND('Actual Game'!K246="",'App Log'!K246=""),"",IF(TRIM('Actual Game'!K246&amp;"")=TRIM('App Log'!K246&amp;""),"MATCH","DIFF"))</f>
      </c>
      <c r="AC246" s="5">
        <f>IF(AND('Actual Game'!A246="",'App Log'!A246=""),"",IF(COUNTIF(D246:AB246,"DIFF")=0,"MATCH","CHECK"))</f>
      </c>
    </row>
    <row r="247" ht="19" customHeight="1">
      <c r="A247" s="5"/>
      <c r="B247" s="5">
        <f>IF('Actual Game'!B247="","",'Actual Game'!B247)</f>
      </c>
      <c r="C247" s="5">
        <f>IF('App Log'!B247="","",'App Log'!B247)</f>
      </c>
      <c r="D247" s="5">
        <f>IF(AND('Actual Game'!B247="",'App Log'!B247=""),"",IF(TRIM('Actual Game'!B247&amp;"")=TRIM('App Log'!B247&amp;""),"MATCH","DIFF"))</f>
      </c>
      <c r="E247" s="5">
        <f>IF('Actual Game'!C247="","",'Actual Game'!C247)</f>
      </c>
      <c r="F247" s="5">
        <f>IF('App Log'!C247="","",'App Log'!C247)</f>
      </c>
      <c r="G247" s="5">
        <f>IF(AND('Actual Game'!C247="",'App Log'!C247=""),"",IF(TRIM('Actual Game'!C247&amp;"")=TRIM('App Log'!C247&amp;""),"MATCH","DIFF"))</f>
      </c>
      <c r="H247" s="5">
        <f>IF('Actual Game'!D247="","",'Actual Game'!D247)</f>
      </c>
      <c r="I247" s="5">
        <f>IF('App Log'!D247="","",'App Log'!D247)</f>
      </c>
      <c r="J247" s="5">
        <f>IF(AND('Actual Game'!D247="",'App Log'!D247=""),"",IF(TRIM('Actual Game'!D247&amp;"")=TRIM('App Log'!D247&amp;""),"MATCH","DIFF"))</f>
      </c>
      <c r="K247" s="5">
        <f>IF('Actual Game'!E247="","",'Actual Game'!E247)</f>
      </c>
      <c r="L247" s="5">
        <f>IF('App Log'!E247="","",'App Log'!E247)</f>
      </c>
      <c r="M247" s="5">
        <f>IF(AND('Actual Game'!E247="",'App Log'!E247=""),"",IF(TRIM('Actual Game'!E247&amp;"")=TRIM('App Log'!E247&amp;""),"MATCH","DIFF"))</f>
      </c>
      <c r="N247" s="5">
        <f>IF('Actual Game'!F247="","",'Actual Game'!F247)</f>
      </c>
      <c r="O247" s="5">
        <f>IF('App Log'!F247="","",'App Log'!F247)</f>
      </c>
      <c r="P247" s="5">
        <f>IF(AND('Actual Game'!F247="",'App Log'!F247=""),"",IF(TRIM('Actual Game'!F247&amp;"")=TRIM('App Log'!F247&amp;""),"MATCH","DIFF"))</f>
      </c>
      <c r="Q247" s="5">
        <f>IF('Actual Game'!I247="","",'Actual Game'!I247)</f>
      </c>
      <c r="R247" s="5">
        <f>IF('App Log'!I247="","",'App Log'!I247)</f>
      </c>
      <c r="S247" s="5">
        <f>IF(AND('Actual Game'!I247="",'App Log'!I247=""),"",IF(TRIM('Actual Game'!I247&amp;"")=TRIM('App Log'!I247&amp;""),"MATCH","DIFF"))</f>
      </c>
      <c r="T247" s="5">
        <f>IF('Actual Game'!H247="","",'Actual Game'!H247)</f>
      </c>
      <c r="U247" s="5">
        <f>IF('App Log'!H247="","",'App Log'!H247)</f>
      </c>
      <c r="V247" s="5">
        <f>IF(AND('Actual Game'!H247="",'App Log'!H247=""),"",IF(TRIM('Actual Game'!H247&amp;"")=TRIM('App Log'!H247&amp;""),"MATCH","DIFF"))</f>
      </c>
      <c r="W247" s="5">
        <f>IF('Actual Game'!J247="","",'Actual Game'!J247)</f>
      </c>
      <c r="X247" s="5">
        <f>IF('App Log'!J247="","",'App Log'!J247)</f>
      </c>
      <c r="Y247" s="5">
        <f>IF(AND('Actual Game'!J247="",'App Log'!J247=""),"",IF(TRIM('Actual Game'!J247&amp;"")=TRIM('App Log'!J247&amp;""),"MATCH","DIFF"))</f>
      </c>
      <c r="Z247" s="5">
        <f>IF('Actual Game'!K247="","",'Actual Game'!K247)</f>
      </c>
      <c r="AA247" s="5">
        <f>IF('App Log'!K247="","",'App Log'!K247)</f>
      </c>
      <c r="AB247" s="5">
        <f>IF(AND('Actual Game'!K247="",'App Log'!K247=""),"",IF(TRIM('Actual Game'!K247&amp;"")=TRIM('App Log'!K247&amp;""),"MATCH","DIFF"))</f>
      </c>
      <c r="AC247" s="5">
        <f>IF(AND('Actual Game'!A247="",'App Log'!A247=""),"",IF(COUNTIF(D247:AB247,"DIFF")=0,"MATCH","CHECK"))</f>
      </c>
    </row>
    <row r="248" ht="19" customHeight="1">
      <c r="A248" s="5"/>
      <c r="B248" s="5">
        <f>IF('Actual Game'!B248="","",'Actual Game'!B248)</f>
      </c>
      <c r="C248" s="5">
        <f>IF('App Log'!B248="","",'App Log'!B248)</f>
      </c>
      <c r="D248" s="5">
        <f>IF(AND('Actual Game'!B248="",'App Log'!B248=""),"",IF(TRIM('Actual Game'!B248&amp;"")=TRIM('App Log'!B248&amp;""),"MATCH","DIFF"))</f>
      </c>
      <c r="E248" s="5">
        <f>IF('Actual Game'!C248="","",'Actual Game'!C248)</f>
      </c>
      <c r="F248" s="5">
        <f>IF('App Log'!C248="","",'App Log'!C248)</f>
      </c>
      <c r="G248" s="5">
        <f>IF(AND('Actual Game'!C248="",'App Log'!C248=""),"",IF(TRIM('Actual Game'!C248&amp;"")=TRIM('App Log'!C248&amp;""),"MATCH","DIFF"))</f>
      </c>
      <c r="H248" s="5">
        <f>IF('Actual Game'!D248="","",'Actual Game'!D248)</f>
      </c>
      <c r="I248" s="5">
        <f>IF('App Log'!D248="","",'App Log'!D248)</f>
      </c>
      <c r="J248" s="5">
        <f>IF(AND('Actual Game'!D248="",'App Log'!D248=""),"",IF(TRIM('Actual Game'!D248&amp;"")=TRIM('App Log'!D248&amp;""),"MATCH","DIFF"))</f>
      </c>
      <c r="K248" s="5">
        <f>IF('Actual Game'!E248="","",'Actual Game'!E248)</f>
      </c>
      <c r="L248" s="5">
        <f>IF('App Log'!E248="","",'App Log'!E248)</f>
      </c>
      <c r="M248" s="5">
        <f>IF(AND('Actual Game'!E248="",'App Log'!E248=""),"",IF(TRIM('Actual Game'!E248&amp;"")=TRIM('App Log'!E248&amp;""),"MATCH","DIFF"))</f>
      </c>
      <c r="N248" s="5">
        <f>IF('Actual Game'!F248="","",'Actual Game'!F248)</f>
      </c>
      <c r="O248" s="5">
        <f>IF('App Log'!F248="","",'App Log'!F248)</f>
      </c>
      <c r="P248" s="5">
        <f>IF(AND('Actual Game'!F248="",'App Log'!F248=""),"",IF(TRIM('Actual Game'!F248&amp;"")=TRIM('App Log'!F248&amp;""),"MATCH","DIFF"))</f>
      </c>
      <c r="Q248" s="5">
        <f>IF('Actual Game'!I248="","",'Actual Game'!I248)</f>
      </c>
      <c r="R248" s="5">
        <f>IF('App Log'!I248="","",'App Log'!I248)</f>
      </c>
      <c r="S248" s="5">
        <f>IF(AND('Actual Game'!I248="",'App Log'!I248=""),"",IF(TRIM('Actual Game'!I248&amp;"")=TRIM('App Log'!I248&amp;""),"MATCH","DIFF"))</f>
      </c>
      <c r="T248" s="5">
        <f>IF('Actual Game'!H248="","",'Actual Game'!H248)</f>
      </c>
      <c r="U248" s="5">
        <f>IF('App Log'!H248="","",'App Log'!H248)</f>
      </c>
      <c r="V248" s="5">
        <f>IF(AND('Actual Game'!H248="",'App Log'!H248=""),"",IF(TRIM('Actual Game'!H248&amp;"")=TRIM('App Log'!H248&amp;""),"MATCH","DIFF"))</f>
      </c>
      <c r="W248" s="5">
        <f>IF('Actual Game'!J248="","",'Actual Game'!J248)</f>
      </c>
      <c r="X248" s="5">
        <f>IF('App Log'!J248="","",'App Log'!J248)</f>
      </c>
      <c r="Y248" s="5">
        <f>IF(AND('Actual Game'!J248="",'App Log'!J248=""),"",IF(TRIM('Actual Game'!J248&amp;"")=TRIM('App Log'!J248&amp;""),"MATCH","DIFF"))</f>
      </c>
      <c r="Z248" s="5">
        <f>IF('Actual Game'!K248="","",'Actual Game'!K248)</f>
      </c>
      <c r="AA248" s="5">
        <f>IF('App Log'!K248="","",'App Log'!K248)</f>
      </c>
      <c r="AB248" s="5">
        <f>IF(AND('Actual Game'!K248="",'App Log'!K248=""),"",IF(TRIM('Actual Game'!K248&amp;"")=TRIM('App Log'!K248&amp;""),"MATCH","DIFF"))</f>
      </c>
      <c r="AC248" s="5">
        <f>IF(AND('Actual Game'!A248="",'App Log'!A248=""),"",IF(COUNTIF(D248:AB248,"DIFF")=0,"MATCH","CHECK"))</f>
      </c>
    </row>
    <row r="249" ht="19" customHeight="1">
      <c r="A249" s="5"/>
      <c r="B249" s="5">
        <f>IF('Actual Game'!B249="","",'Actual Game'!B249)</f>
      </c>
      <c r="C249" s="5">
        <f>IF('App Log'!B249="","",'App Log'!B249)</f>
      </c>
      <c r="D249" s="5">
        <f>IF(AND('Actual Game'!B249="",'App Log'!B249=""),"",IF(TRIM('Actual Game'!B249&amp;"")=TRIM('App Log'!B249&amp;""),"MATCH","DIFF"))</f>
      </c>
      <c r="E249" s="5">
        <f>IF('Actual Game'!C249="","",'Actual Game'!C249)</f>
      </c>
      <c r="F249" s="5">
        <f>IF('App Log'!C249="","",'App Log'!C249)</f>
      </c>
      <c r="G249" s="5">
        <f>IF(AND('Actual Game'!C249="",'App Log'!C249=""),"",IF(TRIM('Actual Game'!C249&amp;"")=TRIM('App Log'!C249&amp;""),"MATCH","DIFF"))</f>
      </c>
      <c r="H249" s="5">
        <f>IF('Actual Game'!D249="","",'Actual Game'!D249)</f>
      </c>
      <c r="I249" s="5">
        <f>IF('App Log'!D249="","",'App Log'!D249)</f>
      </c>
      <c r="J249" s="5">
        <f>IF(AND('Actual Game'!D249="",'App Log'!D249=""),"",IF(TRIM('Actual Game'!D249&amp;"")=TRIM('App Log'!D249&amp;""),"MATCH","DIFF"))</f>
      </c>
      <c r="K249" s="5">
        <f>IF('Actual Game'!E249="","",'Actual Game'!E249)</f>
      </c>
      <c r="L249" s="5">
        <f>IF('App Log'!E249="","",'App Log'!E249)</f>
      </c>
      <c r="M249" s="5">
        <f>IF(AND('Actual Game'!E249="",'App Log'!E249=""),"",IF(TRIM('Actual Game'!E249&amp;"")=TRIM('App Log'!E249&amp;""),"MATCH","DIFF"))</f>
      </c>
      <c r="N249" s="5">
        <f>IF('Actual Game'!F249="","",'Actual Game'!F249)</f>
      </c>
      <c r="O249" s="5">
        <f>IF('App Log'!F249="","",'App Log'!F249)</f>
      </c>
      <c r="P249" s="5">
        <f>IF(AND('Actual Game'!F249="",'App Log'!F249=""),"",IF(TRIM('Actual Game'!F249&amp;"")=TRIM('App Log'!F249&amp;""),"MATCH","DIFF"))</f>
      </c>
      <c r="Q249" s="5">
        <f>IF('Actual Game'!I249="","",'Actual Game'!I249)</f>
      </c>
      <c r="R249" s="5">
        <f>IF('App Log'!I249="","",'App Log'!I249)</f>
      </c>
      <c r="S249" s="5">
        <f>IF(AND('Actual Game'!I249="",'App Log'!I249=""),"",IF(TRIM('Actual Game'!I249&amp;"")=TRIM('App Log'!I249&amp;""),"MATCH","DIFF"))</f>
      </c>
      <c r="T249" s="5">
        <f>IF('Actual Game'!H249="","",'Actual Game'!H249)</f>
      </c>
      <c r="U249" s="5">
        <f>IF('App Log'!H249="","",'App Log'!H249)</f>
      </c>
      <c r="V249" s="5">
        <f>IF(AND('Actual Game'!H249="",'App Log'!H249=""),"",IF(TRIM('Actual Game'!H249&amp;"")=TRIM('App Log'!H249&amp;""),"MATCH","DIFF"))</f>
      </c>
      <c r="W249" s="5">
        <f>IF('Actual Game'!J249="","",'Actual Game'!J249)</f>
      </c>
      <c r="X249" s="5">
        <f>IF('App Log'!J249="","",'App Log'!J249)</f>
      </c>
      <c r="Y249" s="5">
        <f>IF(AND('Actual Game'!J249="",'App Log'!J249=""),"",IF(TRIM('Actual Game'!J249&amp;"")=TRIM('App Log'!J249&amp;""),"MATCH","DIFF"))</f>
      </c>
      <c r="Z249" s="5">
        <f>IF('Actual Game'!K249="","",'Actual Game'!K249)</f>
      </c>
      <c r="AA249" s="5">
        <f>IF('App Log'!K249="","",'App Log'!K249)</f>
      </c>
      <c r="AB249" s="5">
        <f>IF(AND('Actual Game'!K249="",'App Log'!K249=""),"",IF(TRIM('Actual Game'!K249&amp;"")=TRIM('App Log'!K249&amp;""),"MATCH","DIFF"))</f>
      </c>
      <c r="AC249" s="5">
        <f>IF(AND('Actual Game'!A249="",'App Log'!A249=""),"",IF(COUNTIF(D249:AB249,"DIFF")=0,"MATCH","CHECK"))</f>
      </c>
    </row>
    <row r="250" ht="19" customHeight="1">
      <c r="A250" s="5"/>
      <c r="B250" s="5">
        <f>IF('Actual Game'!B250="","",'Actual Game'!B250)</f>
      </c>
      <c r="C250" s="5">
        <f>IF('App Log'!B250="","",'App Log'!B250)</f>
      </c>
      <c r="D250" s="5">
        <f>IF(AND('Actual Game'!B250="",'App Log'!B250=""),"",IF(TRIM('Actual Game'!B250&amp;"")=TRIM('App Log'!B250&amp;""),"MATCH","DIFF"))</f>
      </c>
      <c r="E250" s="5">
        <f>IF('Actual Game'!C250="","",'Actual Game'!C250)</f>
      </c>
      <c r="F250" s="5">
        <f>IF('App Log'!C250="","",'App Log'!C250)</f>
      </c>
      <c r="G250" s="5">
        <f>IF(AND('Actual Game'!C250="",'App Log'!C250=""),"",IF(TRIM('Actual Game'!C250&amp;"")=TRIM('App Log'!C250&amp;""),"MATCH","DIFF"))</f>
      </c>
      <c r="H250" s="5">
        <f>IF('Actual Game'!D250="","",'Actual Game'!D250)</f>
      </c>
      <c r="I250" s="5">
        <f>IF('App Log'!D250="","",'App Log'!D250)</f>
      </c>
      <c r="J250" s="5">
        <f>IF(AND('Actual Game'!D250="",'App Log'!D250=""),"",IF(TRIM('Actual Game'!D250&amp;"")=TRIM('App Log'!D250&amp;""),"MATCH","DIFF"))</f>
      </c>
      <c r="K250" s="5">
        <f>IF('Actual Game'!E250="","",'Actual Game'!E250)</f>
      </c>
      <c r="L250" s="5">
        <f>IF('App Log'!E250="","",'App Log'!E250)</f>
      </c>
      <c r="M250" s="5">
        <f>IF(AND('Actual Game'!E250="",'App Log'!E250=""),"",IF(TRIM('Actual Game'!E250&amp;"")=TRIM('App Log'!E250&amp;""),"MATCH","DIFF"))</f>
      </c>
      <c r="N250" s="5">
        <f>IF('Actual Game'!F250="","",'Actual Game'!F250)</f>
      </c>
      <c r="O250" s="5">
        <f>IF('App Log'!F250="","",'App Log'!F250)</f>
      </c>
      <c r="P250" s="5">
        <f>IF(AND('Actual Game'!F250="",'App Log'!F250=""),"",IF(TRIM('Actual Game'!F250&amp;"")=TRIM('App Log'!F250&amp;""),"MATCH","DIFF"))</f>
      </c>
      <c r="Q250" s="5">
        <f>IF('Actual Game'!I250="","",'Actual Game'!I250)</f>
      </c>
      <c r="R250" s="5">
        <f>IF('App Log'!I250="","",'App Log'!I250)</f>
      </c>
      <c r="S250" s="5">
        <f>IF(AND('Actual Game'!I250="",'App Log'!I250=""),"",IF(TRIM('Actual Game'!I250&amp;"")=TRIM('App Log'!I250&amp;""),"MATCH","DIFF"))</f>
      </c>
      <c r="T250" s="5">
        <f>IF('Actual Game'!H250="","",'Actual Game'!H250)</f>
      </c>
      <c r="U250" s="5">
        <f>IF('App Log'!H250="","",'App Log'!H250)</f>
      </c>
      <c r="V250" s="5">
        <f>IF(AND('Actual Game'!H250="",'App Log'!H250=""),"",IF(TRIM('Actual Game'!H250&amp;"")=TRIM('App Log'!H250&amp;""),"MATCH","DIFF"))</f>
      </c>
      <c r="W250" s="5">
        <f>IF('Actual Game'!J250="","",'Actual Game'!J250)</f>
      </c>
      <c r="X250" s="5">
        <f>IF('App Log'!J250="","",'App Log'!J250)</f>
      </c>
      <c r="Y250" s="5">
        <f>IF(AND('Actual Game'!J250="",'App Log'!J250=""),"",IF(TRIM('Actual Game'!J250&amp;"")=TRIM('App Log'!J250&amp;""),"MATCH","DIFF"))</f>
      </c>
      <c r="Z250" s="5">
        <f>IF('Actual Game'!K250="","",'Actual Game'!K250)</f>
      </c>
      <c r="AA250" s="5">
        <f>IF('App Log'!K250="","",'App Log'!K250)</f>
      </c>
      <c r="AB250" s="5">
        <f>IF(AND('Actual Game'!K250="",'App Log'!K250=""),"",IF(TRIM('Actual Game'!K250&amp;"")=TRIM('App Log'!K250&amp;""),"MATCH","DIFF"))</f>
      </c>
      <c r="AC250" s="5">
        <f>IF(AND('Actual Game'!A250="",'App Log'!A250=""),"",IF(COUNTIF(D250:AB250,"DIFF")=0,"MATCH","CHECK"))</f>
      </c>
    </row>
    <row r="251" ht="19" customHeight="1">
      <c r="A251" s="5"/>
      <c r="B251" s="5">
        <f>IF('Actual Game'!B251="","",'Actual Game'!B251)</f>
      </c>
      <c r="C251" s="5">
        <f>IF('App Log'!B251="","",'App Log'!B251)</f>
      </c>
      <c r="D251" s="5">
        <f>IF(AND('Actual Game'!B251="",'App Log'!B251=""),"",IF(TRIM('Actual Game'!B251&amp;"")=TRIM('App Log'!B251&amp;""),"MATCH","DIFF"))</f>
      </c>
      <c r="E251" s="5">
        <f>IF('Actual Game'!C251="","",'Actual Game'!C251)</f>
      </c>
      <c r="F251" s="5">
        <f>IF('App Log'!C251="","",'App Log'!C251)</f>
      </c>
      <c r="G251" s="5">
        <f>IF(AND('Actual Game'!C251="",'App Log'!C251=""),"",IF(TRIM('Actual Game'!C251&amp;"")=TRIM('App Log'!C251&amp;""),"MATCH","DIFF"))</f>
      </c>
      <c r="H251" s="5">
        <f>IF('Actual Game'!D251="","",'Actual Game'!D251)</f>
      </c>
      <c r="I251" s="5">
        <f>IF('App Log'!D251="","",'App Log'!D251)</f>
      </c>
      <c r="J251" s="5">
        <f>IF(AND('Actual Game'!D251="",'App Log'!D251=""),"",IF(TRIM('Actual Game'!D251&amp;"")=TRIM('App Log'!D251&amp;""),"MATCH","DIFF"))</f>
      </c>
      <c r="K251" s="5">
        <f>IF('Actual Game'!E251="","",'Actual Game'!E251)</f>
      </c>
      <c r="L251" s="5">
        <f>IF('App Log'!E251="","",'App Log'!E251)</f>
      </c>
      <c r="M251" s="5">
        <f>IF(AND('Actual Game'!E251="",'App Log'!E251=""),"",IF(TRIM('Actual Game'!E251&amp;"")=TRIM('App Log'!E251&amp;""),"MATCH","DIFF"))</f>
      </c>
      <c r="N251" s="5">
        <f>IF('Actual Game'!F251="","",'Actual Game'!F251)</f>
      </c>
      <c r="O251" s="5">
        <f>IF('App Log'!F251="","",'App Log'!F251)</f>
      </c>
      <c r="P251" s="5">
        <f>IF(AND('Actual Game'!F251="",'App Log'!F251=""),"",IF(TRIM('Actual Game'!F251&amp;"")=TRIM('App Log'!F251&amp;""),"MATCH","DIFF"))</f>
      </c>
      <c r="Q251" s="5">
        <f>IF('Actual Game'!I251="","",'Actual Game'!I251)</f>
      </c>
      <c r="R251" s="5">
        <f>IF('App Log'!I251="","",'App Log'!I251)</f>
      </c>
      <c r="S251" s="5">
        <f>IF(AND('Actual Game'!I251="",'App Log'!I251=""),"",IF(TRIM('Actual Game'!I251&amp;"")=TRIM('App Log'!I251&amp;""),"MATCH","DIFF"))</f>
      </c>
      <c r="T251" s="5">
        <f>IF('Actual Game'!H251="","",'Actual Game'!H251)</f>
      </c>
      <c r="U251" s="5">
        <f>IF('App Log'!H251="","",'App Log'!H251)</f>
      </c>
      <c r="V251" s="5">
        <f>IF(AND('Actual Game'!H251="",'App Log'!H251=""),"",IF(TRIM('Actual Game'!H251&amp;"")=TRIM('App Log'!H251&amp;""),"MATCH","DIFF"))</f>
      </c>
      <c r="W251" s="5">
        <f>IF('Actual Game'!J251="","",'Actual Game'!J251)</f>
      </c>
      <c r="X251" s="5">
        <f>IF('App Log'!J251="","",'App Log'!J251)</f>
      </c>
      <c r="Y251" s="5">
        <f>IF(AND('Actual Game'!J251="",'App Log'!J251=""),"",IF(TRIM('Actual Game'!J251&amp;"")=TRIM('App Log'!J251&amp;""),"MATCH","DIFF"))</f>
      </c>
      <c r="Z251" s="5">
        <f>IF('Actual Game'!K251="","",'Actual Game'!K251)</f>
      </c>
      <c r="AA251" s="5">
        <f>IF('App Log'!K251="","",'App Log'!K251)</f>
      </c>
      <c r="AB251" s="5">
        <f>IF(AND('Actual Game'!K251="",'App Log'!K251=""),"",IF(TRIM('Actual Game'!K251&amp;"")=TRIM('App Log'!K251&amp;""),"MATCH","DIFF"))</f>
      </c>
      <c r="AC251" s="5">
        <f>IF(AND('Actual Game'!A251="",'App Log'!A251=""),"",IF(COUNTIF(D251:AB251,"DIFF")=0,"MATCH","CHECK"))</f>
      </c>
    </row>
    <row r="252" ht="19" customHeight="1">
      <c r="A252" s="5"/>
      <c r="B252" s="5">
        <f>IF('Actual Game'!B252="","",'Actual Game'!B252)</f>
      </c>
      <c r="C252" s="5">
        <f>IF('App Log'!B252="","",'App Log'!B252)</f>
      </c>
      <c r="D252" s="5">
        <f>IF(AND('Actual Game'!B252="",'App Log'!B252=""),"",IF(TRIM('Actual Game'!B252&amp;"")=TRIM('App Log'!B252&amp;""),"MATCH","DIFF"))</f>
      </c>
      <c r="E252" s="5">
        <f>IF('Actual Game'!C252="","",'Actual Game'!C252)</f>
      </c>
      <c r="F252" s="5">
        <f>IF('App Log'!C252="","",'App Log'!C252)</f>
      </c>
      <c r="G252" s="5">
        <f>IF(AND('Actual Game'!C252="",'App Log'!C252=""),"",IF(TRIM('Actual Game'!C252&amp;"")=TRIM('App Log'!C252&amp;""),"MATCH","DIFF"))</f>
      </c>
      <c r="H252" s="5">
        <f>IF('Actual Game'!D252="","",'Actual Game'!D252)</f>
      </c>
      <c r="I252" s="5">
        <f>IF('App Log'!D252="","",'App Log'!D252)</f>
      </c>
      <c r="J252" s="5">
        <f>IF(AND('Actual Game'!D252="",'App Log'!D252=""),"",IF(TRIM('Actual Game'!D252&amp;"")=TRIM('App Log'!D252&amp;""),"MATCH","DIFF"))</f>
      </c>
      <c r="K252" s="5">
        <f>IF('Actual Game'!E252="","",'Actual Game'!E252)</f>
      </c>
      <c r="L252" s="5">
        <f>IF('App Log'!E252="","",'App Log'!E252)</f>
      </c>
      <c r="M252" s="5">
        <f>IF(AND('Actual Game'!E252="",'App Log'!E252=""),"",IF(TRIM('Actual Game'!E252&amp;"")=TRIM('App Log'!E252&amp;""),"MATCH","DIFF"))</f>
      </c>
      <c r="N252" s="5">
        <f>IF('Actual Game'!F252="","",'Actual Game'!F252)</f>
      </c>
      <c r="O252" s="5">
        <f>IF('App Log'!F252="","",'App Log'!F252)</f>
      </c>
      <c r="P252" s="5">
        <f>IF(AND('Actual Game'!F252="",'App Log'!F252=""),"",IF(TRIM('Actual Game'!F252&amp;"")=TRIM('App Log'!F252&amp;""),"MATCH","DIFF"))</f>
      </c>
      <c r="Q252" s="5">
        <f>IF('Actual Game'!I252="","",'Actual Game'!I252)</f>
      </c>
      <c r="R252" s="5">
        <f>IF('App Log'!I252="","",'App Log'!I252)</f>
      </c>
      <c r="S252" s="5">
        <f>IF(AND('Actual Game'!I252="",'App Log'!I252=""),"",IF(TRIM('Actual Game'!I252&amp;"")=TRIM('App Log'!I252&amp;""),"MATCH","DIFF"))</f>
      </c>
      <c r="T252" s="5">
        <f>IF('Actual Game'!H252="","",'Actual Game'!H252)</f>
      </c>
      <c r="U252" s="5">
        <f>IF('App Log'!H252="","",'App Log'!H252)</f>
      </c>
      <c r="V252" s="5">
        <f>IF(AND('Actual Game'!H252="",'App Log'!H252=""),"",IF(TRIM('Actual Game'!H252&amp;"")=TRIM('App Log'!H252&amp;""),"MATCH","DIFF"))</f>
      </c>
      <c r="W252" s="5">
        <f>IF('Actual Game'!J252="","",'Actual Game'!J252)</f>
      </c>
      <c r="X252" s="5">
        <f>IF('App Log'!J252="","",'App Log'!J252)</f>
      </c>
      <c r="Y252" s="5">
        <f>IF(AND('Actual Game'!J252="",'App Log'!J252=""),"",IF(TRIM('Actual Game'!J252&amp;"")=TRIM('App Log'!J252&amp;""),"MATCH","DIFF"))</f>
      </c>
      <c r="Z252" s="5">
        <f>IF('Actual Game'!K252="","",'Actual Game'!K252)</f>
      </c>
      <c r="AA252" s="5">
        <f>IF('App Log'!K252="","",'App Log'!K252)</f>
      </c>
      <c r="AB252" s="5">
        <f>IF(AND('Actual Game'!K252="",'App Log'!K252=""),"",IF(TRIM('Actual Game'!K252&amp;"")=TRIM('App Log'!K252&amp;""),"MATCH","DIFF"))</f>
      </c>
      <c r="AC252" s="5">
        <f>IF(AND('Actual Game'!A252="",'App Log'!A252=""),"",IF(COUNTIF(D252:AB252,"DIFF")=0,"MATCH","CHECK"))</f>
      </c>
    </row>
    <row r="253" ht="19" customHeight="1">
      <c r="A253" s="5"/>
      <c r="B253" s="5">
        <f>IF('Actual Game'!B253="","",'Actual Game'!B253)</f>
      </c>
      <c r="C253" s="5">
        <f>IF('App Log'!B253="","",'App Log'!B253)</f>
      </c>
      <c r="D253" s="5">
        <f>IF(AND('Actual Game'!B253="",'App Log'!B253=""),"",IF(TRIM('Actual Game'!B253&amp;"")=TRIM('App Log'!B253&amp;""),"MATCH","DIFF"))</f>
      </c>
      <c r="E253" s="5">
        <f>IF('Actual Game'!C253="","",'Actual Game'!C253)</f>
      </c>
      <c r="F253" s="5">
        <f>IF('App Log'!C253="","",'App Log'!C253)</f>
      </c>
      <c r="G253" s="5">
        <f>IF(AND('Actual Game'!C253="",'App Log'!C253=""),"",IF(TRIM('Actual Game'!C253&amp;"")=TRIM('App Log'!C253&amp;""),"MATCH","DIFF"))</f>
      </c>
      <c r="H253" s="5">
        <f>IF('Actual Game'!D253="","",'Actual Game'!D253)</f>
      </c>
      <c r="I253" s="5">
        <f>IF('App Log'!D253="","",'App Log'!D253)</f>
      </c>
      <c r="J253" s="5">
        <f>IF(AND('Actual Game'!D253="",'App Log'!D253=""),"",IF(TRIM('Actual Game'!D253&amp;"")=TRIM('App Log'!D253&amp;""),"MATCH","DIFF"))</f>
      </c>
      <c r="K253" s="5">
        <f>IF('Actual Game'!E253="","",'Actual Game'!E253)</f>
      </c>
      <c r="L253" s="5">
        <f>IF('App Log'!E253="","",'App Log'!E253)</f>
      </c>
      <c r="M253" s="5">
        <f>IF(AND('Actual Game'!E253="",'App Log'!E253=""),"",IF(TRIM('Actual Game'!E253&amp;"")=TRIM('App Log'!E253&amp;""),"MATCH","DIFF"))</f>
      </c>
      <c r="N253" s="5">
        <f>IF('Actual Game'!F253="","",'Actual Game'!F253)</f>
      </c>
      <c r="O253" s="5">
        <f>IF('App Log'!F253="","",'App Log'!F253)</f>
      </c>
      <c r="P253" s="5">
        <f>IF(AND('Actual Game'!F253="",'App Log'!F253=""),"",IF(TRIM('Actual Game'!F253&amp;"")=TRIM('App Log'!F253&amp;""),"MATCH","DIFF"))</f>
      </c>
      <c r="Q253" s="5">
        <f>IF('Actual Game'!I253="","",'Actual Game'!I253)</f>
      </c>
      <c r="R253" s="5">
        <f>IF('App Log'!I253="","",'App Log'!I253)</f>
      </c>
      <c r="S253" s="5">
        <f>IF(AND('Actual Game'!I253="",'App Log'!I253=""),"",IF(TRIM('Actual Game'!I253&amp;"")=TRIM('App Log'!I253&amp;""),"MATCH","DIFF"))</f>
      </c>
      <c r="T253" s="5">
        <f>IF('Actual Game'!H253="","",'Actual Game'!H253)</f>
      </c>
      <c r="U253" s="5">
        <f>IF('App Log'!H253="","",'App Log'!H253)</f>
      </c>
      <c r="V253" s="5">
        <f>IF(AND('Actual Game'!H253="",'App Log'!H253=""),"",IF(TRIM('Actual Game'!H253&amp;"")=TRIM('App Log'!H253&amp;""),"MATCH","DIFF"))</f>
      </c>
      <c r="W253" s="5">
        <f>IF('Actual Game'!J253="","",'Actual Game'!J253)</f>
      </c>
      <c r="X253" s="5">
        <f>IF('App Log'!J253="","",'App Log'!J253)</f>
      </c>
      <c r="Y253" s="5">
        <f>IF(AND('Actual Game'!J253="",'App Log'!J253=""),"",IF(TRIM('Actual Game'!J253&amp;"")=TRIM('App Log'!J253&amp;""),"MATCH","DIFF"))</f>
      </c>
      <c r="Z253" s="5">
        <f>IF('Actual Game'!K253="","",'Actual Game'!K253)</f>
      </c>
      <c r="AA253" s="5">
        <f>IF('App Log'!K253="","",'App Log'!K253)</f>
      </c>
      <c r="AB253" s="5">
        <f>IF(AND('Actual Game'!K253="",'App Log'!K253=""),"",IF(TRIM('Actual Game'!K253&amp;"")=TRIM('App Log'!K253&amp;""),"MATCH","DIFF"))</f>
      </c>
      <c r="AC253" s="5">
        <f>IF(AND('Actual Game'!A253="",'App Log'!A253=""),"",IF(COUNTIF(D253:AB253,"DIFF")=0,"MATCH","CHECK"))</f>
      </c>
    </row>
    <row r="254" ht="19" customHeight="1">
      <c r="A254" s="5"/>
      <c r="B254" s="5">
        <f>IF('Actual Game'!B254="","",'Actual Game'!B254)</f>
      </c>
      <c r="C254" s="5">
        <f>IF('App Log'!B254="","",'App Log'!B254)</f>
      </c>
      <c r="D254" s="5">
        <f>IF(AND('Actual Game'!B254="",'App Log'!B254=""),"",IF(TRIM('Actual Game'!B254&amp;"")=TRIM('App Log'!B254&amp;""),"MATCH","DIFF"))</f>
      </c>
      <c r="E254" s="5">
        <f>IF('Actual Game'!C254="","",'Actual Game'!C254)</f>
      </c>
      <c r="F254" s="5">
        <f>IF('App Log'!C254="","",'App Log'!C254)</f>
      </c>
      <c r="G254" s="5">
        <f>IF(AND('Actual Game'!C254="",'App Log'!C254=""),"",IF(TRIM('Actual Game'!C254&amp;"")=TRIM('App Log'!C254&amp;""),"MATCH","DIFF"))</f>
      </c>
      <c r="H254" s="5">
        <f>IF('Actual Game'!D254="","",'Actual Game'!D254)</f>
      </c>
      <c r="I254" s="5">
        <f>IF('App Log'!D254="","",'App Log'!D254)</f>
      </c>
      <c r="J254" s="5">
        <f>IF(AND('Actual Game'!D254="",'App Log'!D254=""),"",IF(TRIM('Actual Game'!D254&amp;"")=TRIM('App Log'!D254&amp;""),"MATCH","DIFF"))</f>
      </c>
      <c r="K254" s="5">
        <f>IF('Actual Game'!E254="","",'Actual Game'!E254)</f>
      </c>
      <c r="L254" s="5">
        <f>IF('App Log'!E254="","",'App Log'!E254)</f>
      </c>
      <c r="M254" s="5">
        <f>IF(AND('Actual Game'!E254="",'App Log'!E254=""),"",IF(TRIM('Actual Game'!E254&amp;"")=TRIM('App Log'!E254&amp;""),"MATCH","DIFF"))</f>
      </c>
      <c r="N254" s="5">
        <f>IF('Actual Game'!F254="","",'Actual Game'!F254)</f>
      </c>
      <c r="O254" s="5">
        <f>IF('App Log'!F254="","",'App Log'!F254)</f>
      </c>
      <c r="P254" s="5">
        <f>IF(AND('Actual Game'!F254="",'App Log'!F254=""),"",IF(TRIM('Actual Game'!F254&amp;"")=TRIM('App Log'!F254&amp;""),"MATCH","DIFF"))</f>
      </c>
      <c r="Q254" s="5">
        <f>IF('Actual Game'!I254="","",'Actual Game'!I254)</f>
      </c>
      <c r="R254" s="5">
        <f>IF('App Log'!I254="","",'App Log'!I254)</f>
      </c>
      <c r="S254" s="5">
        <f>IF(AND('Actual Game'!I254="",'App Log'!I254=""),"",IF(TRIM('Actual Game'!I254&amp;"")=TRIM('App Log'!I254&amp;""),"MATCH","DIFF"))</f>
      </c>
      <c r="T254" s="5">
        <f>IF('Actual Game'!H254="","",'Actual Game'!H254)</f>
      </c>
      <c r="U254" s="5">
        <f>IF('App Log'!H254="","",'App Log'!H254)</f>
      </c>
      <c r="V254" s="5">
        <f>IF(AND('Actual Game'!H254="",'App Log'!H254=""),"",IF(TRIM('Actual Game'!H254&amp;"")=TRIM('App Log'!H254&amp;""),"MATCH","DIFF"))</f>
      </c>
      <c r="W254" s="5">
        <f>IF('Actual Game'!J254="","",'Actual Game'!J254)</f>
      </c>
      <c r="X254" s="5">
        <f>IF('App Log'!J254="","",'App Log'!J254)</f>
      </c>
      <c r="Y254" s="5">
        <f>IF(AND('Actual Game'!J254="",'App Log'!J254=""),"",IF(TRIM('Actual Game'!J254&amp;"")=TRIM('App Log'!J254&amp;""),"MATCH","DIFF"))</f>
      </c>
      <c r="Z254" s="5">
        <f>IF('Actual Game'!K254="","",'Actual Game'!K254)</f>
      </c>
      <c r="AA254" s="5">
        <f>IF('App Log'!K254="","",'App Log'!K254)</f>
      </c>
      <c r="AB254" s="5">
        <f>IF(AND('Actual Game'!K254="",'App Log'!K254=""),"",IF(TRIM('Actual Game'!K254&amp;"")=TRIM('App Log'!K254&amp;""),"MATCH","DIFF"))</f>
      </c>
      <c r="AC254" s="5">
        <f>IF(AND('Actual Game'!A254="",'App Log'!A254=""),"",IF(COUNTIF(D254:AB254,"DIFF")=0,"MATCH","CHECK"))</f>
      </c>
    </row>
    <row r="255" ht="19" customHeight="1">
      <c r="A255" s="5"/>
      <c r="B255" s="5">
        <f>IF('Actual Game'!B255="","",'Actual Game'!B255)</f>
      </c>
      <c r="C255" s="5">
        <f>IF('App Log'!B255="","",'App Log'!B255)</f>
      </c>
      <c r="D255" s="5">
        <f>IF(AND('Actual Game'!B255="",'App Log'!B255=""),"",IF(TRIM('Actual Game'!B255&amp;"")=TRIM('App Log'!B255&amp;""),"MATCH","DIFF"))</f>
      </c>
      <c r="E255" s="5">
        <f>IF('Actual Game'!C255="","",'Actual Game'!C255)</f>
      </c>
      <c r="F255" s="5">
        <f>IF('App Log'!C255="","",'App Log'!C255)</f>
      </c>
      <c r="G255" s="5">
        <f>IF(AND('Actual Game'!C255="",'App Log'!C255=""),"",IF(TRIM('Actual Game'!C255&amp;"")=TRIM('App Log'!C255&amp;""),"MATCH","DIFF"))</f>
      </c>
      <c r="H255" s="5">
        <f>IF('Actual Game'!D255="","",'Actual Game'!D255)</f>
      </c>
      <c r="I255" s="5">
        <f>IF('App Log'!D255="","",'App Log'!D255)</f>
      </c>
      <c r="J255" s="5">
        <f>IF(AND('Actual Game'!D255="",'App Log'!D255=""),"",IF(TRIM('Actual Game'!D255&amp;"")=TRIM('App Log'!D255&amp;""),"MATCH","DIFF"))</f>
      </c>
      <c r="K255" s="5">
        <f>IF('Actual Game'!E255="","",'Actual Game'!E255)</f>
      </c>
      <c r="L255" s="5">
        <f>IF('App Log'!E255="","",'App Log'!E255)</f>
      </c>
      <c r="M255" s="5">
        <f>IF(AND('Actual Game'!E255="",'App Log'!E255=""),"",IF(TRIM('Actual Game'!E255&amp;"")=TRIM('App Log'!E255&amp;""),"MATCH","DIFF"))</f>
      </c>
      <c r="N255" s="5">
        <f>IF('Actual Game'!F255="","",'Actual Game'!F255)</f>
      </c>
      <c r="O255" s="5">
        <f>IF('App Log'!F255="","",'App Log'!F255)</f>
      </c>
      <c r="P255" s="5">
        <f>IF(AND('Actual Game'!F255="",'App Log'!F255=""),"",IF(TRIM('Actual Game'!F255&amp;"")=TRIM('App Log'!F255&amp;""),"MATCH","DIFF"))</f>
      </c>
      <c r="Q255" s="5">
        <f>IF('Actual Game'!I255="","",'Actual Game'!I255)</f>
      </c>
      <c r="R255" s="5">
        <f>IF('App Log'!I255="","",'App Log'!I255)</f>
      </c>
      <c r="S255" s="5">
        <f>IF(AND('Actual Game'!I255="",'App Log'!I255=""),"",IF(TRIM('Actual Game'!I255&amp;"")=TRIM('App Log'!I255&amp;""),"MATCH","DIFF"))</f>
      </c>
      <c r="T255" s="5">
        <f>IF('Actual Game'!H255="","",'Actual Game'!H255)</f>
      </c>
      <c r="U255" s="5">
        <f>IF('App Log'!H255="","",'App Log'!H255)</f>
      </c>
      <c r="V255" s="5">
        <f>IF(AND('Actual Game'!H255="",'App Log'!H255=""),"",IF(TRIM('Actual Game'!H255&amp;"")=TRIM('App Log'!H255&amp;""),"MATCH","DIFF"))</f>
      </c>
      <c r="W255" s="5">
        <f>IF('Actual Game'!J255="","",'Actual Game'!J255)</f>
      </c>
      <c r="X255" s="5">
        <f>IF('App Log'!J255="","",'App Log'!J255)</f>
      </c>
      <c r="Y255" s="5">
        <f>IF(AND('Actual Game'!J255="",'App Log'!J255=""),"",IF(TRIM('Actual Game'!J255&amp;"")=TRIM('App Log'!J255&amp;""),"MATCH","DIFF"))</f>
      </c>
      <c r="Z255" s="5">
        <f>IF('Actual Game'!K255="","",'Actual Game'!K255)</f>
      </c>
      <c r="AA255" s="5">
        <f>IF('App Log'!K255="","",'App Log'!K255)</f>
      </c>
      <c r="AB255" s="5">
        <f>IF(AND('Actual Game'!K255="",'App Log'!K255=""),"",IF(TRIM('Actual Game'!K255&amp;"")=TRIM('App Log'!K255&amp;""),"MATCH","DIFF"))</f>
      </c>
      <c r="AC255" s="5">
        <f>IF(AND('Actual Game'!A255="",'App Log'!A255=""),"",IF(COUNTIF(D255:AB255,"DIFF")=0,"MATCH","CHECK"))</f>
      </c>
    </row>
    <row r="256" ht="19" customHeight="1">
      <c r="A256" s="5"/>
      <c r="B256" s="5">
        <f>IF('Actual Game'!B256="","",'Actual Game'!B256)</f>
      </c>
      <c r="C256" s="5">
        <f>IF('App Log'!B256="","",'App Log'!B256)</f>
      </c>
      <c r="D256" s="5">
        <f>IF(AND('Actual Game'!B256="",'App Log'!B256=""),"",IF(TRIM('Actual Game'!B256&amp;"")=TRIM('App Log'!B256&amp;""),"MATCH","DIFF"))</f>
      </c>
      <c r="E256" s="5">
        <f>IF('Actual Game'!C256="","",'Actual Game'!C256)</f>
      </c>
      <c r="F256" s="5">
        <f>IF('App Log'!C256="","",'App Log'!C256)</f>
      </c>
      <c r="G256" s="5">
        <f>IF(AND('Actual Game'!C256="",'App Log'!C256=""),"",IF(TRIM('Actual Game'!C256&amp;"")=TRIM('App Log'!C256&amp;""),"MATCH","DIFF"))</f>
      </c>
      <c r="H256" s="5">
        <f>IF('Actual Game'!D256="","",'Actual Game'!D256)</f>
      </c>
      <c r="I256" s="5">
        <f>IF('App Log'!D256="","",'App Log'!D256)</f>
      </c>
      <c r="J256" s="5">
        <f>IF(AND('Actual Game'!D256="",'App Log'!D256=""),"",IF(TRIM('Actual Game'!D256&amp;"")=TRIM('App Log'!D256&amp;""),"MATCH","DIFF"))</f>
      </c>
      <c r="K256" s="5">
        <f>IF('Actual Game'!E256="","",'Actual Game'!E256)</f>
      </c>
      <c r="L256" s="5">
        <f>IF('App Log'!E256="","",'App Log'!E256)</f>
      </c>
      <c r="M256" s="5">
        <f>IF(AND('Actual Game'!E256="",'App Log'!E256=""),"",IF(TRIM('Actual Game'!E256&amp;"")=TRIM('App Log'!E256&amp;""),"MATCH","DIFF"))</f>
      </c>
      <c r="N256" s="5">
        <f>IF('Actual Game'!F256="","",'Actual Game'!F256)</f>
      </c>
      <c r="O256" s="5">
        <f>IF('App Log'!F256="","",'App Log'!F256)</f>
      </c>
      <c r="P256" s="5">
        <f>IF(AND('Actual Game'!F256="",'App Log'!F256=""),"",IF(TRIM('Actual Game'!F256&amp;"")=TRIM('App Log'!F256&amp;""),"MATCH","DIFF"))</f>
      </c>
      <c r="Q256" s="5">
        <f>IF('Actual Game'!I256="","",'Actual Game'!I256)</f>
      </c>
      <c r="R256" s="5">
        <f>IF('App Log'!I256="","",'App Log'!I256)</f>
      </c>
      <c r="S256" s="5">
        <f>IF(AND('Actual Game'!I256="",'App Log'!I256=""),"",IF(TRIM('Actual Game'!I256&amp;"")=TRIM('App Log'!I256&amp;""),"MATCH","DIFF"))</f>
      </c>
      <c r="T256" s="5">
        <f>IF('Actual Game'!H256="","",'Actual Game'!H256)</f>
      </c>
      <c r="U256" s="5">
        <f>IF('App Log'!H256="","",'App Log'!H256)</f>
      </c>
      <c r="V256" s="5">
        <f>IF(AND('Actual Game'!H256="",'App Log'!H256=""),"",IF(TRIM('Actual Game'!H256&amp;"")=TRIM('App Log'!H256&amp;""),"MATCH","DIFF"))</f>
      </c>
      <c r="W256" s="5">
        <f>IF('Actual Game'!J256="","",'Actual Game'!J256)</f>
      </c>
      <c r="X256" s="5">
        <f>IF('App Log'!J256="","",'App Log'!J256)</f>
      </c>
      <c r="Y256" s="5">
        <f>IF(AND('Actual Game'!J256="",'App Log'!J256=""),"",IF(TRIM('Actual Game'!J256&amp;"")=TRIM('App Log'!J256&amp;""),"MATCH","DIFF"))</f>
      </c>
      <c r="Z256" s="5">
        <f>IF('Actual Game'!K256="","",'Actual Game'!K256)</f>
      </c>
      <c r="AA256" s="5">
        <f>IF('App Log'!K256="","",'App Log'!K256)</f>
      </c>
      <c r="AB256" s="5">
        <f>IF(AND('Actual Game'!K256="",'App Log'!K256=""),"",IF(TRIM('Actual Game'!K256&amp;"")=TRIM('App Log'!K256&amp;""),"MATCH","DIFF"))</f>
      </c>
      <c r="AC256" s="5">
        <f>IF(AND('Actual Game'!A256="",'App Log'!A256=""),"",IF(COUNTIF(D256:AB256,"DIFF")=0,"MATCH","CHECK"))</f>
      </c>
    </row>
    <row r="257" ht="19" customHeight="1">
      <c r="A257" s="5"/>
      <c r="B257" s="5">
        <f>IF('Actual Game'!B257="","",'Actual Game'!B257)</f>
      </c>
      <c r="C257" s="5">
        <f>IF('App Log'!B257="","",'App Log'!B257)</f>
      </c>
      <c r="D257" s="5">
        <f>IF(AND('Actual Game'!B257="",'App Log'!B257=""),"",IF(TRIM('Actual Game'!B257&amp;"")=TRIM('App Log'!B257&amp;""),"MATCH","DIFF"))</f>
      </c>
      <c r="E257" s="5">
        <f>IF('Actual Game'!C257="","",'Actual Game'!C257)</f>
      </c>
      <c r="F257" s="5">
        <f>IF('App Log'!C257="","",'App Log'!C257)</f>
      </c>
      <c r="G257" s="5">
        <f>IF(AND('Actual Game'!C257="",'App Log'!C257=""),"",IF(TRIM('Actual Game'!C257&amp;"")=TRIM('App Log'!C257&amp;""),"MATCH","DIFF"))</f>
      </c>
      <c r="H257" s="5">
        <f>IF('Actual Game'!D257="","",'Actual Game'!D257)</f>
      </c>
      <c r="I257" s="5">
        <f>IF('App Log'!D257="","",'App Log'!D257)</f>
      </c>
      <c r="J257" s="5">
        <f>IF(AND('Actual Game'!D257="",'App Log'!D257=""),"",IF(TRIM('Actual Game'!D257&amp;"")=TRIM('App Log'!D257&amp;""),"MATCH","DIFF"))</f>
      </c>
      <c r="K257" s="5">
        <f>IF('Actual Game'!E257="","",'Actual Game'!E257)</f>
      </c>
      <c r="L257" s="5">
        <f>IF('App Log'!E257="","",'App Log'!E257)</f>
      </c>
      <c r="M257" s="5">
        <f>IF(AND('Actual Game'!E257="",'App Log'!E257=""),"",IF(TRIM('Actual Game'!E257&amp;"")=TRIM('App Log'!E257&amp;""),"MATCH","DIFF"))</f>
      </c>
      <c r="N257" s="5">
        <f>IF('Actual Game'!F257="","",'Actual Game'!F257)</f>
      </c>
      <c r="O257" s="5">
        <f>IF('App Log'!F257="","",'App Log'!F257)</f>
      </c>
      <c r="P257" s="5">
        <f>IF(AND('Actual Game'!F257="",'App Log'!F257=""),"",IF(TRIM('Actual Game'!F257&amp;"")=TRIM('App Log'!F257&amp;""),"MATCH","DIFF"))</f>
      </c>
      <c r="Q257" s="5">
        <f>IF('Actual Game'!I257="","",'Actual Game'!I257)</f>
      </c>
      <c r="R257" s="5">
        <f>IF('App Log'!I257="","",'App Log'!I257)</f>
      </c>
      <c r="S257" s="5">
        <f>IF(AND('Actual Game'!I257="",'App Log'!I257=""),"",IF(TRIM('Actual Game'!I257&amp;"")=TRIM('App Log'!I257&amp;""),"MATCH","DIFF"))</f>
      </c>
      <c r="T257" s="5">
        <f>IF('Actual Game'!H257="","",'Actual Game'!H257)</f>
      </c>
      <c r="U257" s="5">
        <f>IF('App Log'!H257="","",'App Log'!H257)</f>
      </c>
      <c r="V257" s="5">
        <f>IF(AND('Actual Game'!H257="",'App Log'!H257=""),"",IF(TRIM('Actual Game'!H257&amp;"")=TRIM('App Log'!H257&amp;""),"MATCH","DIFF"))</f>
      </c>
      <c r="W257" s="5">
        <f>IF('Actual Game'!J257="","",'Actual Game'!J257)</f>
      </c>
      <c r="X257" s="5">
        <f>IF('App Log'!J257="","",'App Log'!J257)</f>
      </c>
      <c r="Y257" s="5">
        <f>IF(AND('Actual Game'!J257="",'App Log'!J257=""),"",IF(TRIM('Actual Game'!J257&amp;"")=TRIM('App Log'!J257&amp;""),"MATCH","DIFF"))</f>
      </c>
      <c r="Z257" s="5">
        <f>IF('Actual Game'!K257="","",'Actual Game'!K257)</f>
      </c>
      <c r="AA257" s="5">
        <f>IF('App Log'!K257="","",'App Log'!K257)</f>
      </c>
      <c r="AB257" s="5">
        <f>IF(AND('Actual Game'!K257="",'App Log'!K257=""),"",IF(TRIM('Actual Game'!K257&amp;"")=TRIM('App Log'!K257&amp;""),"MATCH","DIFF"))</f>
      </c>
      <c r="AC257" s="5">
        <f>IF(AND('Actual Game'!A257="",'App Log'!A257=""),"",IF(COUNTIF(D257:AB257,"DIFF")=0,"MATCH","CHECK"))</f>
      </c>
    </row>
    <row r="258" ht="19" customHeight="1">
      <c r="A258" s="5"/>
      <c r="B258" s="5">
        <f>IF('Actual Game'!B258="","",'Actual Game'!B258)</f>
      </c>
      <c r="C258" s="5">
        <f>IF('App Log'!B258="","",'App Log'!B258)</f>
      </c>
      <c r="D258" s="5">
        <f>IF(AND('Actual Game'!B258="",'App Log'!B258=""),"",IF(TRIM('Actual Game'!B258&amp;"")=TRIM('App Log'!B258&amp;""),"MATCH","DIFF"))</f>
      </c>
      <c r="E258" s="5">
        <f>IF('Actual Game'!C258="","",'Actual Game'!C258)</f>
      </c>
      <c r="F258" s="5">
        <f>IF('App Log'!C258="","",'App Log'!C258)</f>
      </c>
      <c r="G258" s="5">
        <f>IF(AND('Actual Game'!C258="",'App Log'!C258=""),"",IF(TRIM('Actual Game'!C258&amp;"")=TRIM('App Log'!C258&amp;""),"MATCH","DIFF"))</f>
      </c>
      <c r="H258" s="5">
        <f>IF('Actual Game'!D258="","",'Actual Game'!D258)</f>
      </c>
      <c r="I258" s="5">
        <f>IF('App Log'!D258="","",'App Log'!D258)</f>
      </c>
      <c r="J258" s="5">
        <f>IF(AND('Actual Game'!D258="",'App Log'!D258=""),"",IF(TRIM('Actual Game'!D258&amp;"")=TRIM('App Log'!D258&amp;""),"MATCH","DIFF"))</f>
      </c>
      <c r="K258" s="5">
        <f>IF('Actual Game'!E258="","",'Actual Game'!E258)</f>
      </c>
      <c r="L258" s="5">
        <f>IF('App Log'!E258="","",'App Log'!E258)</f>
      </c>
      <c r="M258" s="5">
        <f>IF(AND('Actual Game'!E258="",'App Log'!E258=""),"",IF(TRIM('Actual Game'!E258&amp;"")=TRIM('App Log'!E258&amp;""),"MATCH","DIFF"))</f>
      </c>
      <c r="N258" s="5">
        <f>IF('Actual Game'!F258="","",'Actual Game'!F258)</f>
      </c>
      <c r="O258" s="5">
        <f>IF('App Log'!F258="","",'App Log'!F258)</f>
      </c>
      <c r="P258" s="5">
        <f>IF(AND('Actual Game'!F258="",'App Log'!F258=""),"",IF(TRIM('Actual Game'!F258&amp;"")=TRIM('App Log'!F258&amp;""),"MATCH","DIFF"))</f>
      </c>
      <c r="Q258" s="5">
        <f>IF('Actual Game'!I258="","",'Actual Game'!I258)</f>
      </c>
      <c r="R258" s="5">
        <f>IF('App Log'!I258="","",'App Log'!I258)</f>
      </c>
      <c r="S258" s="5">
        <f>IF(AND('Actual Game'!I258="",'App Log'!I258=""),"",IF(TRIM('Actual Game'!I258&amp;"")=TRIM('App Log'!I258&amp;""),"MATCH","DIFF"))</f>
      </c>
      <c r="T258" s="5">
        <f>IF('Actual Game'!H258="","",'Actual Game'!H258)</f>
      </c>
      <c r="U258" s="5">
        <f>IF('App Log'!H258="","",'App Log'!H258)</f>
      </c>
      <c r="V258" s="5">
        <f>IF(AND('Actual Game'!H258="",'App Log'!H258=""),"",IF(TRIM('Actual Game'!H258&amp;"")=TRIM('App Log'!H258&amp;""),"MATCH","DIFF"))</f>
      </c>
      <c r="W258" s="5">
        <f>IF('Actual Game'!J258="","",'Actual Game'!J258)</f>
      </c>
      <c r="X258" s="5">
        <f>IF('App Log'!J258="","",'App Log'!J258)</f>
      </c>
      <c r="Y258" s="5">
        <f>IF(AND('Actual Game'!J258="",'App Log'!J258=""),"",IF(TRIM('Actual Game'!J258&amp;"")=TRIM('App Log'!J258&amp;""),"MATCH","DIFF"))</f>
      </c>
      <c r="Z258" s="5">
        <f>IF('Actual Game'!K258="","",'Actual Game'!K258)</f>
      </c>
      <c r="AA258" s="5">
        <f>IF('App Log'!K258="","",'App Log'!K258)</f>
      </c>
      <c r="AB258" s="5">
        <f>IF(AND('Actual Game'!K258="",'App Log'!K258=""),"",IF(TRIM('Actual Game'!K258&amp;"")=TRIM('App Log'!K258&amp;""),"MATCH","DIFF"))</f>
      </c>
      <c r="AC258" s="5">
        <f>IF(AND('Actual Game'!A258="",'App Log'!A258=""),"",IF(COUNTIF(D258:AB258,"DIFF")=0,"MATCH","CHECK"))</f>
      </c>
    </row>
    <row r="259" ht="19" customHeight="1">
      <c r="A259" s="5"/>
      <c r="B259" s="5">
        <f>IF('Actual Game'!B259="","",'Actual Game'!B259)</f>
      </c>
      <c r="C259" s="5">
        <f>IF('App Log'!B259="","",'App Log'!B259)</f>
      </c>
      <c r="D259" s="5">
        <f>IF(AND('Actual Game'!B259="",'App Log'!B259=""),"",IF(TRIM('Actual Game'!B259&amp;"")=TRIM('App Log'!B259&amp;""),"MATCH","DIFF"))</f>
      </c>
      <c r="E259" s="5">
        <f>IF('Actual Game'!C259="","",'Actual Game'!C259)</f>
      </c>
      <c r="F259" s="5">
        <f>IF('App Log'!C259="","",'App Log'!C259)</f>
      </c>
      <c r="G259" s="5">
        <f>IF(AND('Actual Game'!C259="",'App Log'!C259=""),"",IF(TRIM('Actual Game'!C259&amp;"")=TRIM('App Log'!C259&amp;""),"MATCH","DIFF"))</f>
      </c>
      <c r="H259" s="5">
        <f>IF('Actual Game'!D259="","",'Actual Game'!D259)</f>
      </c>
      <c r="I259" s="5">
        <f>IF('App Log'!D259="","",'App Log'!D259)</f>
      </c>
      <c r="J259" s="5">
        <f>IF(AND('Actual Game'!D259="",'App Log'!D259=""),"",IF(TRIM('Actual Game'!D259&amp;"")=TRIM('App Log'!D259&amp;""),"MATCH","DIFF"))</f>
      </c>
      <c r="K259" s="5">
        <f>IF('Actual Game'!E259="","",'Actual Game'!E259)</f>
      </c>
      <c r="L259" s="5">
        <f>IF('App Log'!E259="","",'App Log'!E259)</f>
      </c>
      <c r="M259" s="5">
        <f>IF(AND('Actual Game'!E259="",'App Log'!E259=""),"",IF(TRIM('Actual Game'!E259&amp;"")=TRIM('App Log'!E259&amp;""),"MATCH","DIFF"))</f>
      </c>
      <c r="N259" s="5">
        <f>IF('Actual Game'!F259="","",'Actual Game'!F259)</f>
      </c>
      <c r="O259" s="5">
        <f>IF('App Log'!F259="","",'App Log'!F259)</f>
      </c>
      <c r="P259" s="5">
        <f>IF(AND('Actual Game'!F259="",'App Log'!F259=""),"",IF(TRIM('Actual Game'!F259&amp;"")=TRIM('App Log'!F259&amp;""),"MATCH","DIFF"))</f>
      </c>
      <c r="Q259" s="5">
        <f>IF('Actual Game'!I259="","",'Actual Game'!I259)</f>
      </c>
      <c r="R259" s="5">
        <f>IF('App Log'!I259="","",'App Log'!I259)</f>
      </c>
      <c r="S259" s="5">
        <f>IF(AND('Actual Game'!I259="",'App Log'!I259=""),"",IF(TRIM('Actual Game'!I259&amp;"")=TRIM('App Log'!I259&amp;""),"MATCH","DIFF"))</f>
      </c>
      <c r="T259" s="5">
        <f>IF('Actual Game'!H259="","",'Actual Game'!H259)</f>
      </c>
      <c r="U259" s="5">
        <f>IF('App Log'!H259="","",'App Log'!H259)</f>
      </c>
      <c r="V259" s="5">
        <f>IF(AND('Actual Game'!H259="",'App Log'!H259=""),"",IF(TRIM('Actual Game'!H259&amp;"")=TRIM('App Log'!H259&amp;""),"MATCH","DIFF"))</f>
      </c>
      <c r="W259" s="5">
        <f>IF('Actual Game'!J259="","",'Actual Game'!J259)</f>
      </c>
      <c r="X259" s="5">
        <f>IF('App Log'!J259="","",'App Log'!J259)</f>
      </c>
      <c r="Y259" s="5">
        <f>IF(AND('Actual Game'!J259="",'App Log'!J259=""),"",IF(TRIM('Actual Game'!J259&amp;"")=TRIM('App Log'!J259&amp;""),"MATCH","DIFF"))</f>
      </c>
      <c r="Z259" s="5">
        <f>IF('Actual Game'!K259="","",'Actual Game'!K259)</f>
      </c>
      <c r="AA259" s="5">
        <f>IF('App Log'!K259="","",'App Log'!K259)</f>
      </c>
      <c r="AB259" s="5">
        <f>IF(AND('Actual Game'!K259="",'App Log'!K259=""),"",IF(TRIM('Actual Game'!K259&amp;"")=TRIM('App Log'!K259&amp;""),"MATCH","DIFF"))</f>
      </c>
      <c r="AC259" s="5">
        <f>IF(AND('Actual Game'!A259="",'App Log'!A259=""),"",IF(COUNTIF(D259:AB259,"DIFF")=0,"MATCH","CHECK"))</f>
      </c>
    </row>
    <row r="260" ht="19" customHeight="1">
      <c r="A260" s="5"/>
      <c r="B260" s="5">
        <f>IF('Actual Game'!B260="","",'Actual Game'!B260)</f>
      </c>
      <c r="C260" s="5">
        <f>IF('App Log'!B260="","",'App Log'!B260)</f>
      </c>
      <c r="D260" s="5">
        <f>IF(AND('Actual Game'!B260="",'App Log'!B260=""),"",IF(TRIM('Actual Game'!B260&amp;"")=TRIM('App Log'!B260&amp;""),"MATCH","DIFF"))</f>
      </c>
      <c r="E260" s="5">
        <f>IF('Actual Game'!C260="","",'Actual Game'!C260)</f>
      </c>
      <c r="F260" s="5">
        <f>IF('App Log'!C260="","",'App Log'!C260)</f>
      </c>
      <c r="G260" s="5">
        <f>IF(AND('Actual Game'!C260="",'App Log'!C260=""),"",IF(TRIM('Actual Game'!C260&amp;"")=TRIM('App Log'!C260&amp;""),"MATCH","DIFF"))</f>
      </c>
      <c r="H260" s="5">
        <f>IF('Actual Game'!D260="","",'Actual Game'!D260)</f>
      </c>
      <c r="I260" s="5">
        <f>IF('App Log'!D260="","",'App Log'!D260)</f>
      </c>
      <c r="J260" s="5">
        <f>IF(AND('Actual Game'!D260="",'App Log'!D260=""),"",IF(TRIM('Actual Game'!D260&amp;"")=TRIM('App Log'!D260&amp;""),"MATCH","DIFF"))</f>
      </c>
      <c r="K260" s="5">
        <f>IF('Actual Game'!E260="","",'Actual Game'!E260)</f>
      </c>
      <c r="L260" s="5">
        <f>IF('App Log'!E260="","",'App Log'!E260)</f>
      </c>
      <c r="M260" s="5">
        <f>IF(AND('Actual Game'!E260="",'App Log'!E260=""),"",IF(TRIM('Actual Game'!E260&amp;"")=TRIM('App Log'!E260&amp;""),"MATCH","DIFF"))</f>
      </c>
      <c r="N260" s="5">
        <f>IF('Actual Game'!F260="","",'Actual Game'!F260)</f>
      </c>
      <c r="O260" s="5">
        <f>IF('App Log'!F260="","",'App Log'!F260)</f>
      </c>
      <c r="P260" s="5">
        <f>IF(AND('Actual Game'!F260="",'App Log'!F260=""),"",IF(TRIM('Actual Game'!F260&amp;"")=TRIM('App Log'!F260&amp;""),"MATCH","DIFF"))</f>
      </c>
      <c r="Q260" s="5">
        <f>IF('Actual Game'!I260="","",'Actual Game'!I260)</f>
      </c>
      <c r="R260" s="5">
        <f>IF('App Log'!I260="","",'App Log'!I260)</f>
      </c>
      <c r="S260" s="5">
        <f>IF(AND('Actual Game'!I260="",'App Log'!I260=""),"",IF(TRIM('Actual Game'!I260&amp;"")=TRIM('App Log'!I260&amp;""),"MATCH","DIFF"))</f>
      </c>
      <c r="T260" s="5">
        <f>IF('Actual Game'!H260="","",'Actual Game'!H260)</f>
      </c>
      <c r="U260" s="5">
        <f>IF('App Log'!H260="","",'App Log'!H260)</f>
      </c>
      <c r="V260" s="5">
        <f>IF(AND('Actual Game'!H260="",'App Log'!H260=""),"",IF(TRIM('Actual Game'!H260&amp;"")=TRIM('App Log'!H260&amp;""),"MATCH","DIFF"))</f>
      </c>
      <c r="W260" s="5">
        <f>IF('Actual Game'!J260="","",'Actual Game'!J260)</f>
      </c>
      <c r="X260" s="5">
        <f>IF('App Log'!J260="","",'App Log'!J260)</f>
      </c>
      <c r="Y260" s="5">
        <f>IF(AND('Actual Game'!J260="",'App Log'!J260=""),"",IF(TRIM('Actual Game'!J260&amp;"")=TRIM('App Log'!J260&amp;""),"MATCH","DIFF"))</f>
      </c>
      <c r="Z260" s="5">
        <f>IF('Actual Game'!K260="","",'Actual Game'!K260)</f>
      </c>
      <c r="AA260" s="5">
        <f>IF('App Log'!K260="","",'App Log'!K260)</f>
      </c>
      <c r="AB260" s="5">
        <f>IF(AND('Actual Game'!K260="",'App Log'!K260=""),"",IF(TRIM('Actual Game'!K260&amp;"")=TRIM('App Log'!K260&amp;""),"MATCH","DIFF"))</f>
      </c>
      <c r="AC260" s="5">
        <f>IF(AND('Actual Game'!A260="",'App Log'!A260=""),"",IF(COUNTIF(D260:AB260,"DIFF")=0,"MATCH","CHECK"))</f>
      </c>
    </row>
    <row r="261" ht="19" customHeight="1">
      <c r="A261" s="5"/>
      <c r="B261" s="5">
        <f>IF('Actual Game'!B261="","",'Actual Game'!B261)</f>
      </c>
      <c r="C261" s="5">
        <f>IF('App Log'!B261="","",'App Log'!B261)</f>
      </c>
      <c r="D261" s="5">
        <f>IF(AND('Actual Game'!B261="",'App Log'!B261=""),"",IF(TRIM('Actual Game'!B261&amp;"")=TRIM('App Log'!B261&amp;""),"MATCH","DIFF"))</f>
      </c>
      <c r="E261" s="5">
        <f>IF('Actual Game'!C261="","",'Actual Game'!C261)</f>
      </c>
      <c r="F261" s="5">
        <f>IF('App Log'!C261="","",'App Log'!C261)</f>
      </c>
      <c r="G261" s="5">
        <f>IF(AND('Actual Game'!C261="",'App Log'!C261=""),"",IF(TRIM('Actual Game'!C261&amp;"")=TRIM('App Log'!C261&amp;""),"MATCH","DIFF"))</f>
      </c>
      <c r="H261" s="5">
        <f>IF('Actual Game'!D261="","",'Actual Game'!D261)</f>
      </c>
      <c r="I261" s="5">
        <f>IF('App Log'!D261="","",'App Log'!D261)</f>
      </c>
      <c r="J261" s="5">
        <f>IF(AND('Actual Game'!D261="",'App Log'!D261=""),"",IF(TRIM('Actual Game'!D261&amp;"")=TRIM('App Log'!D261&amp;""),"MATCH","DIFF"))</f>
      </c>
      <c r="K261" s="5">
        <f>IF('Actual Game'!E261="","",'Actual Game'!E261)</f>
      </c>
      <c r="L261" s="5">
        <f>IF('App Log'!E261="","",'App Log'!E261)</f>
      </c>
      <c r="M261" s="5">
        <f>IF(AND('Actual Game'!E261="",'App Log'!E261=""),"",IF(TRIM('Actual Game'!E261&amp;"")=TRIM('App Log'!E261&amp;""),"MATCH","DIFF"))</f>
      </c>
      <c r="N261" s="5">
        <f>IF('Actual Game'!F261="","",'Actual Game'!F261)</f>
      </c>
      <c r="O261" s="5">
        <f>IF('App Log'!F261="","",'App Log'!F261)</f>
      </c>
      <c r="P261" s="5">
        <f>IF(AND('Actual Game'!F261="",'App Log'!F261=""),"",IF(TRIM('Actual Game'!F261&amp;"")=TRIM('App Log'!F261&amp;""),"MATCH","DIFF"))</f>
      </c>
      <c r="Q261" s="5">
        <f>IF('Actual Game'!I261="","",'Actual Game'!I261)</f>
      </c>
      <c r="R261" s="5">
        <f>IF('App Log'!I261="","",'App Log'!I261)</f>
      </c>
      <c r="S261" s="5">
        <f>IF(AND('Actual Game'!I261="",'App Log'!I261=""),"",IF(TRIM('Actual Game'!I261&amp;"")=TRIM('App Log'!I261&amp;""),"MATCH","DIFF"))</f>
      </c>
      <c r="T261" s="5">
        <f>IF('Actual Game'!H261="","",'Actual Game'!H261)</f>
      </c>
      <c r="U261" s="5">
        <f>IF('App Log'!H261="","",'App Log'!H261)</f>
      </c>
      <c r="V261" s="5">
        <f>IF(AND('Actual Game'!H261="",'App Log'!H261=""),"",IF(TRIM('Actual Game'!H261&amp;"")=TRIM('App Log'!H261&amp;""),"MATCH","DIFF"))</f>
      </c>
      <c r="W261" s="5">
        <f>IF('Actual Game'!J261="","",'Actual Game'!J261)</f>
      </c>
      <c r="X261" s="5">
        <f>IF('App Log'!J261="","",'App Log'!J261)</f>
      </c>
      <c r="Y261" s="5">
        <f>IF(AND('Actual Game'!J261="",'App Log'!J261=""),"",IF(TRIM('Actual Game'!J261&amp;"")=TRIM('App Log'!J261&amp;""),"MATCH","DIFF"))</f>
      </c>
      <c r="Z261" s="5">
        <f>IF('Actual Game'!K261="","",'Actual Game'!K261)</f>
      </c>
      <c r="AA261" s="5">
        <f>IF('App Log'!K261="","",'App Log'!K261)</f>
      </c>
      <c r="AB261" s="5">
        <f>IF(AND('Actual Game'!K261="",'App Log'!K261=""),"",IF(TRIM('Actual Game'!K261&amp;"")=TRIM('App Log'!K261&amp;""),"MATCH","DIFF"))</f>
      </c>
      <c r="AC261" s="5">
        <f>IF(AND('Actual Game'!A261="",'App Log'!A261=""),"",IF(COUNTIF(D261:AB261,"DIFF")=0,"MATCH","CHECK"))</f>
      </c>
    </row>
    <row r="262" ht="19" customHeight="1">
      <c r="A262" s="5"/>
      <c r="B262" s="5">
        <f>IF('Actual Game'!B262="","",'Actual Game'!B262)</f>
      </c>
      <c r="C262" s="5">
        <f>IF('App Log'!B262="","",'App Log'!B262)</f>
      </c>
      <c r="D262" s="5">
        <f>IF(AND('Actual Game'!B262="",'App Log'!B262=""),"",IF(TRIM('Actual Game'!B262&amp;"")=TRIM('App Log'!B262&amp;""),"MATCH","DIFF"))</f>
      </c>
      <c r="E262" s="5">
        <f>IF('Actual Game'!C262="","",'Actual Game'!C262)</f>
      </c>
      <c r="F262" s="5">
        <f>IF('App Log'!C262="","",'App Log'!C262)</f>
      </c>
      <c r="G262" s="5">
        <f>IF(AND('Actual Game'!C262="",'App Log'!C262=""),"",IF(TRIM('Actual Game'!C262&amp;"")=TRIM('App Log'!C262&amp;""),"MATCH","DIFF"))</f>
      </c>
      <c r="H262" s="5">
        <f>IF('Actual Game'!D262="","",'Actual Game'!D262)</f>
      </c>
      <c r="I262" s="5">
        <f>IF('App Log'!D262="","",'App Log'!D262)</f>
      </c>
      <c r="J262" s="5">
        <f>IF(AND('Actual Game'!D262="",'App Log'!D262=""),"",IF(TRIM('Actual Game'!D262&amp;"")=TRIM('App Log'!D262&amp;""),"MATCH","DIFF"))</f>
      </c>
      <c r="K262" s="5">
        <f>IF('Actual Game'!E262="","",'Actual Game'!E262)</f>
      </c>
      <c r="L262" s="5">
        <f>IF('App Log'!E262="","",'App Log'!E262)</f>
      </c>
      <c r="M262" s="5">
        <f>IF(AND('Actual Game'!E262="",'App Log'!E262=""),"",IF(TRIM('Actual Game'!E262&amp;"")=TRIM('App Log'!E262&amp;""),"MATCH","DIFF"))</f>
      </c>
      <c r="N262" s="5">
        <f>IF('Actual Game'!F262="","",'Actual Game'!F262)</f>
      </c>
      <c r="O262" s="5">
        <f>IF('App Log'!F262="","",'App Log'!F262)</f>
      </c>
      <c r="P262" s="5">
        <f>IF(AND('Actual Game'!F262="",'App Log'!F262=""),"",IF(TRIM('Actual Game'!F262&amp;"")=TRIM('App Log'!F262&amp;""),"MATCH","DIFF"))</f>
      </c>
      <c r="Q262" s="5">
        <f>IF('Actual Game'!I262="","",'Actual Game'!I262)</f>
      </c>
      <c r="R262" s="5">
        <f>IF('App Log'!I262="","",'App Log'!I262)</f>
      </c>
      <c r="S262" s="5">
        <f>IF(AND('Actual Game'!I262="",'App Log'!I262=""),"",IF(TRIM('Actual Game'!I262&amp;"")=TRIM('App Log'!I262&amp;""),"MATCH","DIFF"))</f>
      </c>
      <c r="T262" s="5">
        <f>IF('Actual Game'!H262="","",'Actual Game'!H262)</f>
      </c>
      <c r="U262" s="5">
        <f>IF('App Log'!H262="","",'App Log'!H262)</f>
      </c>
      <c r="V262" s="5">
        <f>IF(AND('Actual Game'!H262="",'App Log'!H262=""),"",IF(TRIM('Actual Game'!H262&amp;"")=TRIM('App Log'!H262&amp;""),"MATCH","DIFF"))</f>
      </c>
      <c r="W262" s="5">
        <f>IF('Actual Game'!J262="","",'Actual Game'!J262)</f>
      </c>
      <c r="X262" s="5">
        <f>IF('App Log'!J262="","",'App Log'!J262)</f>
      </c>
      <c r="Y262" s="5">
        <f>IF(AND('Actual Game'!J262="",'App Log'!J262=""),"",IF(TRIM('Actual Game'!J262&amp;"")=TRIM('App Log'!J262&amp;""),"MATCH","DIFF"))</f>
      </c>
      <c r="Z262" s="5">
        <f>IF('Actual Game'!K262="","",'Actual Game'!K262)</f>
      </c>
      <c r="AA262" s="5">
        <f>IF('App Log'!K262="","",'App Log'!K262)</f>
      </c>
      <c r="AB262" s="5">
        <f>IF(AND('Actual Game'!K262="",'App Log'!K262=""),"",IF(TRIM('Actual Game'!K262&amp;"")=TRIM('App Log'!K262&amp;""),"MATCH","DIFF"))</f>
      </c>
      <c r="AC262" s="5">
        <f>IF(AND('Actual Game'!A262="",'App Log'!A262=""),"",IF(COUNTIF(D262:AB262,"DIFF")=0,"MATCH","CHECK"))</f>
      </c>
    </row>
    <row r="263" ht="19" customHeight="1">
      <c r="A263" s="5"/>
      <c r="B263" s="5">
        <f>IF('Actual Game'!B263="","",'Actual Game'!B263)</f>
      </c>
      <c r="C263" s="5">
        <f>IF('App Log'!B263="","",'App Log'!B263)</f>
      </c>
      <c r="D263" s="5">
        <f>IF(AND('Actual Game'!B263="",'App Log'!B263=""),"",IF(TRIM('Actual Game'!B263&amp;"")=TRIM('App Log'!B263&amp;""),"MATCH","DIFF"))</f>
      </c>
      <c r="E263" s="5">
        <f>IF('Actual Game'!C263="","",'Actual Game'!C263)</f>
      </c>
      <c r="F263" s="5">
        <f>IF('App Log'!C263="","",'App Log'!C263)</f>
      </c>
      <c r="G263" s="5">
        <f>IF(AND('Actual Game'!C263="",'App Log'!C263=""),"",IF(TRIM('Actual Game'!C263&amp;"")=TRIM('App Log'!C263&amp;""),"MATCH","DIFF"))</f>
      </c>
      <c r="H263" s="5">
        <f>IF('Actual Game'!D263="","",'Actual Game'!D263)</f>
      </c>
      <c r="I263" s="5">
        <f>IF('App Log'!D263="","",'App Log'!D263)</f>
      </c>
      <c r="J263" s="5">
        <f>IF(AND('Actual Game'!D263="",'App Log'!D263=""),"",IF(TRIM('Actual Game'!D263&amp;"")=TRIM('App Log'!D263&amp;""),"MATCH","DIFF"))</f>
      </c>
      <c r="K263" s="5">
        <f>IF('Actual Game'!E263="","",'Actual Game'!E263)</f>
      </c>
      <c r="L263" s="5">
        <f>IF('App Log'!E263="","",'App Log'!E263)</f>
      </c>
      <c r="M263" s="5">
        <f>IF(AND('Actual Game'!E263="",'App Log'!E263=""),"",IF(TRIM('Actual Game'!E263&amp;"")=TRIM('App Log'!E263&amp;""),"MATCH","DIFF"))</f>
      </c>
      <c r="N263" s="5">
        <f>IF('Actual Game'!F263="","",'Actual Game'!F263)</f>
      </c>
      <c r="O263" s="5">
        <f>IF('App Log'!F263="","",'App Log'!F263)</f>
      </c>
      <c r="P263" s="5">
        <f>IF(AND('Actual Game'!F263="",'App Log'!F263=""),"",IF(TRIM('Actual Game'!F263&amp;"")=TRIM('App Log'!F263&amp;""),"MATCH","DIFF"))</f>
      </c>
      <c r="Q263" s="5">
        <f>IF('Actual Game'!I263="","",'Actual Game'!I263)</f>
      </c>
      <c r="R263" s="5">
        <f>IF('App Log'!I263="","",'App Log'!I263)</f>
      </c>
      <c r="S263" s="5">
        <f>IF(AND('Actual Game'!I263="",'App Log'!I263=""),"",IF(TRIM('Actual Game'!I263&amp;"")=TRIM('App Log'!I263&amp;""),"MATCH","DIFF"))</f>
      </c>
      <c r="T263" s="5">
        <f>IF('Actual Game'!H263="","",'Actual Game'!H263)</f>
      </c>
      <c r="U263" s="5">
        <f>IF('App Log'!H263="","",'App Log'!H263)</f>
      </c>
      <c r="V263" s="5">
        <f>IF(AND('Actual Game'!H263="",'App Log'!H263=""),"",IF(TRIM('Actual Game'!H263&amp;"")=TRIM('App Log'!H263&amp;""),"MATCH","DIFF"))</f>
      </c>
      <c r="W263" s="5">
        <f>IF('Actual Game'!J263="","",'Actual Game'!J263)</f>
      </c>
      <c r="X263" s="5">
        <f>IF('App Log'!J263="","",'App Log'!J263)</f>
      </c>
      <c r="Y263" s="5">
        <f>IF(AND('Actual Game'!J263="",'App Log'!J263=""),"",IF(TRIM('Actual Game'!J263&amp;"")=TRIM('App Log'!J263&amp;""),"MATCH","DIFF"))</f>
      </c>
      <c r="Z263" s="5">
        <f>IF('Actual Game'!K263="","",'Actual Game'!K263)</f>
      </c>
      <c r="AA263" s="5">
        <f>IF('App Log'!K263="","",'App Log'!K263)</f>
      </c>
      <c r="AB263" s="5">
        <f>IF(AND('Actual Game'!K263="",'App Log'!K263=""),"",IF(TRIM('Actual Game'!K263&amp;"")=TRIM('App Log'!K263&amp;""),"MATCH","DIFF"))</f>
      </c>
      <c r="AC263" s="5">
        <f>IF(AND('Actual Game'!A263="",'App Log'!A263=""),"",IF(COUNTIF(D263:AB263,"DIFF")=0,"MATCH","CHECK"))</f>
      </c>
    </row>
    <row r="264" ht="19" customHeight="1">
      <c r="A264" s="5"/>
      <c r="B264" s="5">
        <f>IF('Actual Game'!B264="","",'Actual Game'!B264)</f>
      </c>
      <c r="C264" s="5">
        <f>IF('App Log'!B264="","",'App Log'!B264)</f>
      </c>
      <c r="D264" s="5">
        <f>IF(AND('Actual Game'!B264="",'App Log'!B264=""),"",IF(TRIM('Actual Game'!B264&amp;"")=TRIM('App Log'!B264&amp;""),"MATCH","DIFF"))</f>
      </c>
      <c r="E264" s="5">
        <f>IF('Actual Game'!C264="","",'Actual Game'!C264)</f>
      </c>
      <c r="F264" s="5">
        <f>IF('App Log'!C264="","",'App Log'!C264)</f>
      </c>
      <c r="G264" s="5">
        <f>IF(AND('Actual Game'!C264="",'App Log'!C264=""),"",IF(TRIM('Actual Game'!C264&amp;"")=TRIM('App Log'!C264&amp;""),"MATCH","DIFF"))</f>
      </c>
      <c r="H264" s="5">
        <f>IF('Actual Game'!D264="","",'Actual Game'!D264)</f>
      </c>
      <c r="I264" s="5">
        <f>IF('App Log'!D264="","",'App Log'!D264)</f>
      </c>
      <c r="J264" s="5">
        <f>IF(AND('Actual Game'!D264="",'App Log'!D264=""),"",IF(TRIM('Actual Game'!D264&amp;"")=TRIM('App Log'!D264&amp;""),"MATCH","DIFF"))</f>
      </c>
      <c r="K264" s="5">
        <f>IF('Actual Game'!E264="","",'Actual Game'!E264)</f>
      </c>
      <c r="L264" s="5">
        <f>IF('App Log'!E264="","",'App Log'!E264)</f>
      </c>
      <c r="M264" s="5">
        <f>IF(AND('Actual Game'!E264="",'App Log'!E264=""),"",IF(TRIM('Actual Game'!E264&amp;"")=TRIM('App Log'!E264&amp;""),"MATCH","DIFF"))</f>
      </c>
      <c r="N264" s="5">
        <f>IF('Actual Game'!F264="","",'Actual Game'!F264)</f>
      </c>
      <c r="O264" s="5">
        <f>IF('App Log'!F264="","",'App Log'!F264)</f>
      </c>
      <c r="P264" s="5">
        <f>IF(AND('Actual Game'!F264="",'App Log'!F264=""),"",IF(TRIM('Actual Game'!F264&amp;"")=TRIM('App Log'!F264&amp;""),"MATCH","DIFF"))</f>
      </c>
      <c r="Q264" s="5">
        <f>IF('Actual Game'!I264="","",'Actual Game'!I264)</f>
      </c>
      <c r="R264" s="5">
        <f>IF('App Log'!I264="","",'App Log'!I264)</f>
      </c>
      <c r="S264" s="5">
        <f>IF(AND('Actual Game'!I264="",'App Log'!I264=""),"",IF(TRIM('Actual Game'!I264&amp;"")=TRIM('App Log'!I264&amp;""),"MATCH","DIFF"))</f>
      </c>
      <c r="T264" s="5">
        <f>IF('Actual Game'!H264="","",'Actual Game'!H264)</f>
      </c>
      <c r="U264" s="5">
        <f>IF('App Log'!H264="","",'App Log'!H264)</f>
      </c>
      <c r="V264" s="5">
        <f>IF(AND('Actual Game'!H264="",'App Log'!H264=""),"",IF(TRIM('Actual Game'!H264&amp;"")=TRIM('App Log'!H264&amp;""),"MATCH","DIFF"))</f>
      </c>
      <c r="W264" s="5">
        <f>IF('Actual Game'!J264="","",'Actual Game'!J264)</f>
      </c>
      <c r="X264" s="5">
        <f>IF('App Log'!J264="","",'App Log'!J264)</f>
      </c>
      <c r="Y264" s="5">
        <f>IF(AND('Actual Game'!J264="",'App Log'!J264=""),"",IF(TRIM('Actual Game'!J264&amp;"")=TRIM('App Log'!J264&amp;""),"MATCH","DIFF"))</f>
      </c>
      <c r="Z264" s="5">
        <f>IF('Actual Game'!K264="","",'Actual Game'!K264)</f>
      </c>
      <c r="AA264" s="5">
        <f>IF('App Log'!K264="","",'App Log'!K264)</f>
      </c>
      <c r="AB264" s="5">
        <f>IF(AND('Actual Game'!K264="",'App Log'!K264=""),"",IF(TRIM('Actual Game'!K264&amp;"")=TRIM('App Log'!K264&amp;""),"MATCH","DIFF"))</f>
      </c>
      <c r="AC264" s="5">
        <f>IF(AND('Actual Game'!A264="",'App Log'!A264=""),"",IF(COUNTIF(D264:AB264,"DIFF")=0,"MATCH","CHECK"))</f>
      </c>
    </row>
    <row r="265" ht="19" customHeight="1">
      <c r="A265" s="5"/>
      <c r="B265" s="5">
        <f>IF('Actual Game'!B265="","",'Actual Game'!B265)</f>
      </c>
      <c r="C265" s="5">
        <f>IF('App Log'!B265="","",'App Log'!B265)</f>
      </c>
      <c r="D265" s="5">
        <f>IF(AND('Actual Game'!B265="",'App Log'!B265=""),"",IF(TRIM('Actual Game'!B265&amp;"")=TRIM('App Log'!B265&amp;""),"MATCH","DIFF"))</f>
      </c>
      <c r="E265" s="5">
        <f>IF('Actual Game'!C265="","",'Actual Game'!C265)</f>
      </c>
      <c r="F265" s="5">
        <f>IF('App Log'!C265="","",'App Log'!C265)</f>
      </c>
      <c r="G265" s="5">
        <f>IF(AND('Actual Game'!C265="",'App Log'!C265=""),"",IF(TRIM('Actual Game'!C265&amp;"")=TRIM('App Log'!C265&amp;""),"MATCH","DIFF"))</f>
      </c>
      <c r="H265" s="5">
        <f>IF('Actual Game'!D265="","",'Actual Game'!D265)</f>
      </c>
      <c r="I265" s="5">
        <f>IF('App Log'!D265="","",'App Log'!D265)</f>
      </c>
      <c r="J265" s="5">
        <f>IF(AND('Actual Game'!D265="",'App Log'!D265=""),"",IF(TRIM('Actual Game'!D265&amp;"")=TRIM('App Log'!D265&amp;""),"MATCH","DIFF"))</f>
      </c>
      <c r="K265" s="5">
        <f>IF('Actual Game'!E265="","",'Actual Game'!E265)</f>
      </c>
      <c r="L265" s="5">
        <f>IF('App Log'!E265="","",'App Log'!E265)</f>
      </c>
      <c r="M265" s="5">
        <f>IF(AND('Actual Game'!E265="",'App Log'!E265=""),"",IF(TRIM('Actual Game'!E265&amp;"")=TRIM('App Log'!E265&amp;""),"MATCH","DIFF"))</f>
      </c>
      <c r="N265" s="5">
        <f>IF('Actual Game'!F265="","",'Actual Game'!F265)</f>
      </c>
      <c r="O265" s="5">
        <f>IF('App Log'!F265="","",'App Log'!F265)</f>
      </c>
      <c r="P265" s="5">
        <f>IF(AND('Actual Game'!F265="",'App Log'!F265=""),"",IF(TRIM('Actual Game'!F265&amp;"")=TRIM('App Log'!F265&amp;""),"MATCH","DIFF"))</f>
      </c>
      <c r="Q265" s="5">
        <f>IF('Actual Game'!I265="","",'Actual Game'!I265)</f>
      </c>
      <c r="R265" s="5">
        <f>IF('App Log'!I265="","",'App Log'!I265)</f>
      </c>
      <c r="S265" s="5">
        <f>IF(AND('Actual Game'!I265="",'App Log'!I265=""),"",IF(TRIM('Actual Game'!I265&amp;"")=TRIM('App Log'!I265&amp;""),"MATCH","DIFF"))</f>
      </c>
      <c r="T265" s="5">
        <f>IF('Actual Game'!H265="","",'Actual Game'!H265)</f>
      </c>
      <c r="U265" s="5">
        <f>IF('App Log'!H265="","",'App Log'!H265)</f>
      </c>
      <c r="V265" s="5">
        <f>IF(AND('Actual Game'!H265="",'App Log'!H265=""),"",IF(TRIM('Actual Game'!H265&amp;"")=TRIM('App Log'!H265&amp;""),"MATCH","DIFF"))</f>
      </c>
      <c r="W265" s="5">
        <f>IF('Actual Game'!J265="","",'Actual Game'!J265)</f>
      </c>
      <c r="X265" s="5">
        <f>IF('App Log'!J265="","",'App Log'!J265)</f>
      </c>
      <c r="Y265" s="5">
        <f>IF(AND('Actual Game'!J265="",'App Log'!J265=""),"",IF(TRIM('Actual Game'!J265&amp;"")=TRIM('App Log'!J265&amp;""),"MATCH","DIFF"))</f>
      </c>
      <c r="Z265" s="5">
        <f>IF('Actual Game'!K265="","",'Actual Game'!K265)</f>
      </c>
      <c r="AA265" s="5">
        <f>IF('App Log'!K265="","",'App Log'!K265)</f>
      </c>
      <c r="AB265" s="5">
        <f>IF(AND('Actual Game'!K265="",'App Log'!K265=""),"",IF(TRIM('Actual Game'!K265&amp;"")=TRIM('App Log'!K265&amp;""),"MATCH","DIFF"))</f>
      </c>
      <c r="AC265" s="5">
        <f>IF(AND('Actual Game'!A265="",'App Log'!A265=""),"",IF(COUNTIF(D265:AB265,"DIFF")=0,"MATCH","CHECK"))</f>
      </c>
    </row>
    <row r="266" ht="19" customHeight="1">
      <c r="A266" s="5"/>
      <c r="B266" s="5">
        <f>IF('Actual Game'!B266="","",'Actual Game'!B266)</f>
      </c>
      <c r="C266" s="5">
        <f>IF('App Log'!B266="","",'App Log'!B266)</f>
      </c>
      <c r="D266" s="5">
        <f>IF(AND('Actual Game'!B266="",'App Log'!B266=""),"",IF(TRIM('Actual Game'!B266&amp;"")=TRIM('App Log'!B266&amp;""),"MATCH","DIFF"))</f>
      </c>
      <c r="E266" s="5">
        <f>IF('Actual Game'!C266="","",'Actual Game'!C266)</f>
      </c>
      <c r="F266" s="5">
        <f>IF('App Log'!C266="","",'App Log'!C266)</f>
      </c>
      <c r="G266" s="5">
        <f>IF(AND('Actual Game'!C266="",'App Log'!C266=""),"",IF(TRIM('Actual Game'!C266&amp;"")=TRIM('App Log'!C266&amp;""),"MATCH","DIFF"))</f>
      </c>
      <c r="H266" s="5">
        <f>IF('Actual Game'!D266="","",'Actual Game'!D266)</f>
      </c>
      <c r="I266" s="5">
        <f>IF('App Log'!D266="","",'App Log'!D266)</f>
      </c>
      <c r="J266" s="5">
        <f>IF(AND('Actual Game'!D266="",'App Log'!D266=""),"",IF(TRIM('Actual Game'!D266&amp;"")=TRIM('App Log'!D266&amp;""),"MATCH","DIFF"))</f>
      </c>
      <c r="K266" s="5">
        <f>IF('Actual Game'!E266="","",'Actual Game'!E266)</f>
      </c>
      <c r="L266" s="5">
        <f>IF('App Log'!E266="","",'App Log'!E266)</f>
      </c>
      <c r="M266" s="5">
        <f>IF(AND('Actual Game'!E266="",'App Log'!E266=""),"",IF(TRIM('Actual Game'!E266&amp;"")=TRIM('App Log'!E266&amp;""),"MATCH","DIFF"))</f>
      </c>
      <c r="N266" s="5">
        <f>IF('Actual Game'!F266="","",'Actual Game'!F266)</f>
      </c>
      <c r="O266" s="5">
        <f>IF('App Log'!F266="","",'App Log'!F266)</f>
      </c>
      <c r="P266" s="5">
        <f>IF(AND('Actual Game'!F266="",'App Log'!F266=""),"",IF(TRIM('Actual Game'!F266&amp;"")=TRIM('App Log'!F266&amp;""),"MATCH","DIFF"))</f>
      </c>
      <c r="Q266" s="5">
        <f>IF('Actual Game'!I266="","",'Actual Game'!I266)</f>
      </c>
      <c r="R266" s="5">
        <f>IF('App Log'!I266="","",'App Log'!I266)</f>
      </c>
      <c r="S266" s="5">
        <f>IF(AND('Actual Game'!I266="",'App Log'!I266=""),"",IF(TRIM('Actual Game'!I266&amp;"")=TRIM('App Log'!I266&amp;""),"MATCH","DIFF"))</f>
      </c>
      <c r="T266" s="5">
        <f>IF('Actual Game'!H266="","",'Actual Game'!H266)</f>
      </c>
      <c r="U266" s="5">
        <f>IF('App Log'!H266="","",'App Log'!H266)</f>
      </c>
      <c r="V266" s="5">
        <f>IF(AND('Actual Game'!H266="",'App Log'!H266=""),"",IF(TRIM('Actual Game'!H266&amp;"")=TRIM('App Log'!H266&amp;""),"MATCH","DIFF"))</f>
      </c>
      <c r="W266" s="5">
        <f>IF('Actual Game'!J266="","",'Actual Game'!J266)</f>
      </c>
      <c r="X266" s="5">
        <f>IF('App Log'!J266="","",'App Log'!J266)</f>
      </c>
      <c r="Y266" s="5">
        <f>IF(AND('Actual Game'!J266="",'App Log'!J266=""),"",IF(TRIM('Actual Game'!J266&amp;"")=TRIM('App Log'!J266&amp;""),"MATCH","DIFF"))</f>
      </c>
      <c r="Z266" s="5">
        <f>IF('Actual Game'!K266="","",'Actual Game'!K266)</f>
      </c>
      <c r="AA266" s="5">
        <f>IF('App Log'!K266="","",'App Log'!K266)</f>
      </c>
      <c r="AB266" s="5">
        <f>IF(AND('Actual Game'!K266="",'App Log'!K266=""),"",IF(TRIM('Actual Game'!K266&amp;"")=TRIM('App Log'!K266&amp;""),"MATCH","DIFF"))</f>
      </c>
      <c r="AC266" s="5">
        <f>IF(AND('Actual Game'!A266="",'App Log'!A266=""),"",IF(COUNTIF(D266:AB266,"DIFF")=0,"MATCH","CHECK"))</f>
      </c>
    </row>
    <row r="267" ht="19" customHeight="1">
      <c r="A267" s="5"/>
      <c r="B267" s="5">
        <f>IF('Actual Game'!B267="","",'Actual Game'!B267)</f>
      </c>
      <c r="C267" s="5">
        <f>IF('App Log'!B267="","",'App Log'!B267)</f>
      </c>
      <c r="D267" s="5">
        <f>IF(AND('Actual Game'!B267="",'App Log'!B267=""),"",IF(TRIM('Actual Game'!B267&amp;"")=TRIM('App Log'!B267&amp;""),"MATCH","DIFF"))</f>
      </c>
      <c r="E267" s="5">
        <f>IF('Actual Game'!C267="","",'Actual Game'!C267)</f>
      </c>
      <c r="F267" s="5">
        <f>IF('App Log'!C267="","",'App Log'!C267)</f>
      </c>
      <c r="G267" s="5">
        <f>IF(AND('Actual Game'!C267="",'App Log'!C267=""),"",IF(TRIM('Actual Game'!C267&amp;"")=TRIM('App Log'!C267&amp;""),"MATCH","DIFF"))</f>
      </c>
      <c r="H267" s="5">
        <f>IF('Actual Game'!D267="","",'Actual Game'!D267)</f>
      </c>
      <c r="I267" s="5">
        <f>IF('App Log'!D267="","",'App Log'!D267)</f>
      </c>
      <c r="J267" s="5">
        <f>IF(AND('Actual Game'!D267="",'App Log'!D267=""),"",IF(TRIM('Actual Game'!D267&amp;"")=TRIM('App Log'!D267&amp;""),"MATCH","DIFF"))</f>
      </c>
      <c r="K267" s="5">
        <f>IF('Actual Game'!E267="","",'Actual Game'!E267)</f>
      </c>
      <c r="L267" s="5">
        <f>IF('App Log'!E267="","",'App Log'!E267)</f>
      </c>
      <c r="M267" s="5">
        <f>IF(AND('Actual Game'!E267="",'App Log'!E267=""),"",IF(TRIM('Actual Game'!E267&amp;"")=TRIM('App Log'!E267&amp;""),"MATCH","DIFF"))</f>
      </c>
      <c r="N267" s="5">
        <f>IF('Actual Game'!F267="","",'Actual Game'!F267)</f>
      </c>
      <c r="O267" s="5">
        <f>IF('App Log'!F267="","",'App Log'!F267)</f>
      </c>
      <c r="P267" s="5">
        <f>IF(AND('Actual Game'!F267="",'App Log'!F267=""),"",IF(TRIM('Actual Game'!F267&amp;"")=TRIM('App Log'!F267&amp;""),"MATCH","DIFF"))</f>
      </c>
      <c r="Q267" s="5">
        <f>IF('Actual Game'!I267="","",'Actual Game'!I267)</f>
      </c>
      <c r="R267" s="5">
        <f>IF('App Log'!I267="","",'App Log'!I267)</f>
      </c>
      <c r="S267" s="5">
        <f>IF(AND('Actual Game'!I267="",'App Log'!I267=""),"",IF(TRIM('Actual Game'!I267&amp;"")=TRIM('App Log'!I267&amp;""),"MATCH","DIFF"))</f>
      </c>
      <c r="T267" s="5">
        <f>IF('Actual Game'!H267="","",'Actual Game'!H267)</f>
      </c>
      <c r="U267" s="5">
        <f>IF('App Log'!H267="","",'App Log'!H267)</f>
      </c>
      <c r="V267" s="5">
        <f>IF(AND('Actual Game'!H267="",'App Log'!H267=""),"",IF(TRIM('Actual Game'!H267&amp;"")=TRIM('App Log'!H267&amp;""),"MATCH","DIFF"))</f>
      </c>
      <c r="W267" s="5">
        <f>IF('Actual Game'!J267="","",'Actual Game'!J267)</f>
      </c>
      <c r="X267" s="5">
        <f>IF('App Log'!J267="","",'App Log'!J267)</f>
      </c>
      <c r="Y267" s="5">
        <f>IF(AND('Actual Game'!J267="",'App Log'!J267=""),"",IF(TRIM('Actual Game'!J267&amp;"")=TRIM('App Log'!J267&amp;""),"MATCH","DIFF"))</f>
      </c>
      <c r="Z267" s="5">
        <f>IF('Actual Game'!K267="","",'Actual Game'!K267)</f>
      </c>
      <c r="AA267" s="5">
        <f>IF('App Log'!K267="","",'App Log'!K267)</f>
      </c>
      <c r="AB267" s="5">
        <f>IF(AND('Actual Game'!K267="",'App Log'!K267=""),"",IF(TRIM('Actual Game'!K267&amp;"")=TRIM('App Log'!K267&amp;""),"MATCH","DIFF"))</f>
      </c>
      <c r="AC267" s="5">
        <f>IF(AND('Actual Game'!A267="",'App Log'!A267=""),"",IF(COUNTIF(D267:AB267,"DIFF")=0,"MATCH","CHECK"))</f>
      </c>
    </row>
    <row r="268" ht="19" customHeight="1">
      <c r="A268" s="5"/>
      <c r="B268" s="5">
        <f>IF('Actual Game'!B268="","",'Actual Game'!B268)</f>
      </c>
      <c r="C268" s="5">
        <f>IF('App Log'!B268="","",'App Log'!B268)</f>
      </c>
      <c r="D268" s="5">
        <f>IF(AND('Actual Game'!B268="",'App Log'!B268=""),"",IF(TRIM('Actual Game'!B268&amp;"")=TRIM('App Log'!B268&amp;""),"MATCH","DIFF"))</f>
      </c>
      <c r="E268" s="5">
        <f>IF('Actual Game'!C268="","",'Actual Game'!C268)</f>
      </c>
      <c r="F268" s="5">
        <f>IF('App Log'!C268="","",'App Log'!C268)</f>
      </c>
      <c r="G268" s="5">
        <f>IF(AND('Actual Game'!C268="",'App Log'!C268=""),"",IF(TRIM('Actual Game'!C268&amp;"")=TRIM('App Log'!C268&amp;""),"MATCH","DIFF"))</f>
      </c>
      <c r="H268" s="5">
        <f>IF('Actual Game'!D268="","",'Actual Game'!D268)</f>
      </c>
      <c r="I268" s="5">
        <f>IF('App Log'!D268="","",'App Log'!D268)</f>
      </c>
      <c r="J268" s="5">
        <f>IF(AND('Actual Game'!D268="",'App Log'!D268=""),"",IF(TRIM('Actual Game'!D268&amp;"")=TRIM('App Log'!D268&amp;""),"MATCH","DIFF"))</f>
      </c>
      <c r="K268" s="5">
        <f>IF('Actual Game'!E268="","",'Actual Game'!E268)</f>
      </c>
      <c r="L268" s="5">
        <f>IF('App Log'!E268="","",'App Log'!E268)</f>
      </c>
      <c r="M268" s="5">
        <f>IF(AND('Actual Game'!E268="",'App Log'!E268=""),"",IF(TRIM('Actual Game'!E268&amp;"")=TRIM('App Log'!E268&amp;""),"MATCH","DIFF"))</f>
      </c>
      <c r="N268" s="5">
        <f>IF('Actual Game'!F268="","",'Actual Game'!F268)</f>
      </c>
      <c r="O268" s="5">
        <f>IF('App Log'!F268="","",'App Log'!F268)</f>
      </c>
      <c r="P268" s="5">
        <f>IF(AND('Actual Game'!F268="",'App Log'!F268=""),"",IF(TRIM('Actual Game'!F268&amp;"")=TRIM('App Log'!F268&amp;""),"MATCH","DIFF"))</f>
      </c>
      <c r="Q268" s="5">
        <f>IF('Actual Game'!I268="","",'Actual Game'!I268)</f>
      </c>
      <c r="R268" s="5">
        <f>IF('App Log'!I268="","",'App Log'!I268)</f>
      </c>
      <c r="S268" s="5">
        <f>IF(AND('Actual Game'!I268="",'App Log'!I268=""),"",IF(TRIM('Actual Game'!I268&amp;"")=TRIM('App Log'!I268&amp;""),"MATCH","DIFF"))</f>
      </c>
      <c r="T268" s="5">
        <f>IF('Actual Game'!H268="","",'Actual Game'!H268)</f>
      </c>
      <c r="U268" s="5">
        <f>IF('App Log'!H268="","",'App Log'!H268)</f>
      </c>
      <c r="V268" s="5">
        <f>IF(AND('Actual Game'!H268="",'App Log'!H268=""),"",IF(TRIM('Actual Game'!H268&amp;"")=TRIM('App Log'!H268&amp;""),"MATCH","DIFF"))</f>
      </c>
      <c r="W268" s="5">
        <f>IF('Actual Game'!J268="","",'Actual Game'!J268)</f>
      </c>
      <c r="X268" s="5">
        <f>IF('App Log'!J268="","",'App Log'!J268)</f>
      </c>
      <c r="Y268" s="5">
        <f>IF(AND('Actual Game'!J268="",'App Log'!J268=""),"",IF(TRIM('Actual Game'!J268&amp;"")=TRIM('App Log'!J268&amp;""),"MATCH","DIFF"))</f>
      </c>
      <c r="Z268" s="5">
        <f>IF('Actual Game'!K268="","",'Actual Game'!K268)</f>
      </c>
      <c r="AA268" s="5">
        <f>IF('App Log'!K268="","",'App Log'!K268)</f>
      </c>
      <c r="AB268" s="5">
        <f>IF(AND('Actual Game'!K268="",'App Log'!K268=""),"",IF(TRIM('Actual Game'!K268&amp;"")=TRIM('App Log'!K268&amp;""),"MATCH","DIFF"))</f>
      </c>
      <c r="AC268" s="5">
        <f>IF(AND('Actual Game'!A268="",'App Log'!A268=""),"",IF(COUNTIF(D268:AB268,"DIFF")=0,"MATCH","CHECK"))</f>
      </c>
    </row>
    <row r="269" ht="19" customHeight="1">
      <c r="A269" s="5"/>
      <c r="B269" s="5">
        <f>IF('Actual Game'!B269="","",'Actual Game'!B269)</f>
      </c>
      <c r="C269" s="5">
        <f>IF('App Log'!B269="","",'App Log'!B269)</f>
      </c>
      <c r="D269" s="5">
        <f>IF(AND('Actual Game'!B269="",'App Log'!B269=""),"",IF(TRIM('Actual Game'!B269&amp;"")=TRIM('App Log'!B269&amp;""),"MATCH","DIFF"))</f>
      </c>
      <c r="E269" s="5">
        <f>IF('Actual Game'!C269="","",'Actual Game'!C269)</f>
      </c>
      <c r="F269" s="5">
        <f>IF('App Log'!C269="","",'App Log'!C269)</f>
      </c>
      <c r="G269" s="5">
        <f>IF(AND('Actual Game'!C269="",'App Log'!C269=""),"",IF(TRIM('Actual Game'!C269&amp;"")=TRIM('App Log'!C269&amp;""),"MATCH","DIFF"))</f>
      </c>
      <c r="H269" s="5">
        <f>IF('Actual Game'!D269="","",'Actual Game'!D269)</f>
      </c>
      <c r="I269" s="5">
        <f>IF('App Log'!D269="","",'App Log'!D269)</f>
      </c>
      <c r="J269" s="5">
        <f>IF(AND('Actual Game'!D269="",'App Log'!D269=""),"",IF(TRIM('Actual Game'!D269&amp;"")=TRIM('App Log'!D269&amp;""),"MATCH","DIFF"))</f>
      </c>
      <c r="K269" s="5">
        <f>IF('Actual Game'!E269="","",'Actual Game'!E269)</f>
      </c>
      <c r="L269" s="5">
        <f>IF('App Log'!E269="","",'App Log'!E269)</f>
      </c>
      <c r="M269" s="5">
        <f>IF(AND('Actual Game'!E269="",'App Log'!E269=""),"",IF(TRIM('Actual Game'!E269&amp;"")=TRIM('App Log'!E269&amp;""),"MATCH","DIFF"))</f>
      </c>
      <c r="N269" s="5">
        <f>IF('Actual Game'!F269="","",'Actual Game'!F269)</f>
      </c>
      <c r="O269" s="5">
        <f>IF('App Log'!F269="","",'App Log'!F269)</f>
      </c>
      <c r="P269" s="5">
        <f>IF(AND('Actual Game'!F269="",'App Log'!F269=""),"",IF(TRIM('Actual Game'!F269&amp;"")=TRIM('App Log'!F269&amp;""),"MATCH","DIFF"))</f>
      </c>
      <c r="Q269" s="5">
        <f>IF('Actual Game'!I269="","",'Actual Game'!I269)</f>
      </c>
      <c r="R269" s="5">
        <f>IF('App Log'!I269="","",'App Log'!I269)</f>
      </c>
      <c r="S269" s="5">
        <f>IF(AND('Actual Game'!I269="",'App Log'!I269=""),"",IF(TRIM('Actual Game'!I269&amp;"")=TRIM('App Log'!I269&amp;""),"MATCH","DIFF"))</f>
      </c>
      <c r="T269" s="5">
        <f>IF('Actual Game'!H269="","",'Actual Game'!H269)</f>
      </c>
      <c r="U269" s="5">
        <f>IF('App Log'!H269="","",'App Log'!H269)</f>
      </c>
      <c r="V269" s="5">
        <f>IF(AND('Actual Game'!H269="",'App Log'!H269=""),"",IF(TRIM('Actual Game'!H269&amp;"")=TRIM('App Log'!H269&amp;""),"MATCH","DIFF"))</f>
      </c>
      <c r="W269" s="5">
        <f>IF('Actual Game'!J269="","",'Actual Game'!J269)</f>
      </c>
      <c r="X269" s="5">
        <f>IF('App Log'!J269="","",'App Log'!J269)</f>
      </c>
      <c r="Y269" s="5">
        <f>IF(AND('Actual Game'!J269="",'App Log'!J269=""),"",IF(TRIM('Actual Game'!J269&amp;"")=TRIM('App Log'!J269&amp;""),"MATCH","DIFF"))</f>
      </c>
      <c r="Z269" s="5">
        <f>IF('Actual Game'!K269="","",'Actual Game'!K269)</f>
      </c>
      <c r="AA269" s="5">
        <f>IF('App Log'!K269="","",'App Log'!K269)</f>
      </c>
      <c r="AB269" s="5">
        <f>IF(AND('Actual Game'!K269="",'App Log'!K269=""),"",IF(TRIM('Actual Game'!K269&amp;"")=TRIM('App Log'!K269&amp;""),"MATCH","DIFF"))</f>
      </c>
      <c r="AC269" s="5">
        <f>IF(AND('Actual Game'!A269="",'App Log'!A269=""),"",IF(COUNTIF(D269:AB269,"DIFF")=0,"MATCH","CHECK"))</f>
      </c>
    </row>
    <row r="270" ht="19" customHeight="1">
      <c r="A270" s="5"/>
      <c r="B270" s="5">
        <f>IF('Actual Game'!B270="","",'Actual Game'!B270)</f>
      </c>
      <c r="C270" s="5">
        <f>IF('App Log'!B270="","",'App Log'!B270)</f>
      </c>
      <c r="D270" s="5">
        <f>IF(AND('Actual Game'!B270="",'App Log'!B270=""),"",IF(TRIM('Actual Game'!B270&amp;"")=TRIM('App Log'!B270&amp;""),"MATCH","DIFF"))</f>
      </c>
      <c r="E270" s="5">
        <f>IF('Actual Game'!C270="","",'Actual Game'!C270)</f>
      </c>
      <c r="F270" s="5">
        <f>IF('App Log'!C270="","",'App Log'!C270)</f>
      </c>
      <c r="G270" s="5">
        <f>IF(AND('Actual Game'!C270="",'App Log'!C270=""),"",IF(TRIM('Actual Game'!C270&amp;"")=TRIM('App Log'!C270&amp;""),"MATCH","DIFF"))</f>
      </c>
      <c r="H270" s="5">
        <f>IF('Actual Game'!D270="","",'Actual Game'!D270)</f>
      </c>
      <c r="I270" s="5">
        <f>IF('App Log'!D270="","",'App Log'!D270)</f>
      </c>
      <c r="J270" s="5">
        <f>IF(AND('Actual Game'!D270="",'App Log'!D270=""),"",IF(TRIM('Actual Game'!D270&amp;"")=TRIM('App Log'!D270&amp;""),"MATCH","DIFF"))</f>
      </c>
      <c r="K270" s="5">
        <f>IF('Actual Game'!E270="","",'Actual Game'!E270)</f>
      </c>
      <c r="L270" s="5">
        <f>IF('App Log'!E270="","",'App Log'!E270)</f>
      </c>
      <c r="M270" s="5">
        <f>IF(AND('Actual Game'!E270="",'App Log'!E270=""),"",IF(TRIM('Actual Game'!E270&amp;"")=TRIM('App Log'!E270&amp;""),"MATCH","DIFF"))</f>
      </c>
      <c r="N270" s="5">
        <f>IF('Actual Game'!F270="","",'Actual Game'!F270)</f>
      </c>
      <c r="O270" s="5">
        <f>IF('App Log'!F270="","",'App Log'!F270)</f>
      </c>
      <c r="P270" s="5">
        <f>IF(AND('Actual Game'!F270="",'App Log'!F270=""),"",IF(TRIM('Actual Game'!F270&amp;"")=TRIM('App Log'!F270&amp;""),"MATCH","DIFF"))</f>
      </c>
      <c r="Q270" s="5">
        <f>IF('Actual Game'!I270="","",'Actual Game'!I270)</f>
      </c>
      <c r="R270" s="5">
        <f>IF('App Log'!I270="","",'App Log'!I270)</f>
      </c>
      <c r="S270" s="5">
        <f>IF(AND('Actual Game'!I270="",'App Log'!I270=""),"",IF(TRIM('Actual Game'!I270&amp;"")=TRIM('App Log'!I270&amp;""),"MATCH","DIFF"))</f>
      </c>
      <c r="T270" s="5">
        <f>IF('Actual Game'!H270="","",'Actual Game'!H270)</f>
      </c>
      <c r="U270" s="5">
        <f>IF('App Log'!H270="","",'App Log'!H270)</f>
      </c>
      <c r="V270" s="5">
        <f>IF(AND('Actual Game'!H270="",'App Log'!H270=""),"",IF(TRIM('Actual Game'!H270&amp;"")=TRIM('App Log'!H270&amp;""),"MATCH","DIFF"))</f>
      </c>
      <c r="W270" s="5">
        <f>IF('Actual Game'!J270="","",'Actual Game'!J270)</f>
      </c>
      <c r="X270" s="5">
        <f>IF('App Log'!J270="","",'App Log'!J270)</f>
      </c>
      <c r="Y270" s="5">
        <f>IF(AND('Actual Game'!J270="",'App Log'!J270=""),"",IF(TRIM('Actual Game'!J270&amp;"")=TRIM('App Log'!J270&amp;""),"MATCH","DIFF"))</f>
      </c>
      <c r="Z270" s="5">
        <f>IF('Actual Game'!K270="","",'Actual Game'!K270)</f>
      </c>
      <c r="AA270" s="5">
        <f>IF('App Log'!K270="","",'App Log'!K270)</f>
      </c>
      <c r="AB270" s="5">
        <f>IF(AND('Actual Game'!K270="",'App Log'!K270=""),"",IF(TRIM('Actual Game'!K270&amp;"")=TRIM('App Log'!K270&amp;""),"MATCH","DIFF"))</f>
      </c>
      <c r="AC270" s="5">
        <f>IF(AND('Actual Game'!A270="",'App Log'!A270=""),"",IF(COUNTIF(D270:AB270,"DIFF")=0,"MATCH","CHECK"))</f>
      </c>
    </row>
    <row r="271" ht="19" customHeight="1">
      <c r="A271" s="5"/>
      <c r="B271" s="5">
        <f>IF('Actual Game'!B271="","",'Actual Game'!B271)</f>
      </c>
      <c r="C271" s="5">
        <f>IF('App Log'!B271="","",'App Log'!B271)</f>
      </c>
      <c r="D271" s="5">
        <f>IF(AND('Actual Game'!B271="",'App Log'!B271=""),"",IF(TRIM('Actual Game'!B271&amp;"")=TRIM('App Log'!B271&amp;""),"MATCH","DIFF"))</f>
      </c>
      <c r="E271" s="5">
        <f>IF('Actual Game'!C271="","",'Actual Game'!C271)</f>
      </c>
      <c r="F271" s="5">
        <f>IF('App Log'!C271="","",'App Log'!C271)</f>
      </c>
      <c r="G271" s="5">
        <f>IF(AND('Actual Game'!C271="",'App Log'!C271=""),"",IF(TRIM('Actual Game'!C271&amp;"")=TRIM('App Log'!C271&amp;""),"MATCH","DIFF"))</f>
      </c>
      <c r="H271" s="5">
        <f>IF('Actual Game'!D271="","",'Actual Game'!D271)</f>
      </c>
      <c r="I271" s="5">
        <f>IF('App Log'!D271="","",'App Log'!D271)</f>
      </c>
      <c r="J271" s="5">
        <f>IF(AND('Actual Game'!D271="",'App Log'!D271=""),"",IF(TRIM('Actual Game'!D271&amp;"")=TRIM('App Log'!D271&amp;""),"MATCH","DIFF"))</f>
      </c>
      <c r="K271" s="5">
        <f>IF('Actual Game'!E271="","",'Actual Game'!E271)</f>
      </c>
      <c r="L271" s="5">
        <f>IF('App Log'!E271="","",'App Log'!E271)</f>
      </c>
      <c r="M271" s="5">
        <f>IF(AND('Actual Game'!E271="",'App Log'!E271=""),"",IF(TRIM('Actual Game'!E271&amp;"")=TRIM('App Log'!E271&amp;""),"MATCH","DIFF"))</f>
      </c>
      <c r="N271" s="5">
        <f>IF('Actual Game'!F271="","",'Actual Game'!F271)</f>
      </c>
      <c r="O271" s="5">
        <f>IF('App Log'!F271="","",'App Log'!F271)</f>
      </c>
      <c r="P271" s="5">
        <f>IF(AND('Actual Game'!F271="",'App Log'!F271=""),"",IF(TRIM('Actual Game'!F271&amp;"")=TRIM('App Log'!F271&amp;""),"MATCH","DIFF"))</f>
      </c>
      <c r="Q271" s="5">
        <f>IF('Actual Game'!I271="","",'Actual Game'!I271)</f>
      </c>
      <c r="R271" s="5">
        <f>IF('App Log'!I271="","",'App Log'!I271)</f>
      </c>
      <c r="S271" s="5">
        <f>IF(AND('Actual Game'!I271="",'App Log'!I271=""),"",IF(TRIM('Actual Game'!I271&amp;"")=TRIM('App Log'!I271&amp;""),"MATCH","DIFF"))</f>
      </c>
      <c r="T271" s="5">
        <f>IF('Actual Game'!H271="","",'Actual Game'!H271)</f>
      </c>
      <c r="U271" s="5">
        <f>IF('App Log'!H271="","",'App Log'!H271)</f>
      </c>
      <c r="V271" s="5">
        <f>IF(AND('Actual Game'!H271="",'App Log'!H271=""),"",IF(TRIM('Actual Game'!H271&amp;"")=TRIM('App Log'!H271&amp;""),"MATCH","DIFF"))</f>
      </c>
      <c r="W271" s="5">
        <f>IF('Actual Game'!J271="","",'Actual Game'!J271)</f>
      </c>
      <c r="X271" s="5">
        <f>IF('App Log'!J271="","",'App Log'!J271)</f>
      </c>
      <c r="Y271" s="5">
        <f>IF(AND('Actual Game'!J271="",'App Log'!J271=""),"",IF(TRIM('Actual Game'!J271&amp;"")=TRIM('App Log'!J271&amp;""),"MATCH","DIFF"))</f>
      </c>
      <c r="Z271" s="5">
        <f>IF('Actual Game'!K271="","",'Actual Game'!K271)</f>
      </c>
      <c r="AA271" s="5">
        <f>IF('App Log'!K271="","",'App Log'!K271)</f>
      </c>
      <c r="AB271" s="5">
        <f>IF(AND('Actual Game'!K271="",'App Log'!K271=""),"",IF(TRIM('Actual Game'!K271&amp;"")=TRIM('App Log'!K271&amp;""),"MATCH","DIFF"))</f>
      </c>
      <c r="AC271" s="5">
        <f>IF(AND('Actual Game'!A271="",'App Log'!A271=""),"",IF(COUNTIF(D271:AB271,"DIFF")=0,"MATCH","CHECK"))</f>
      </c>
    </row>
    <row r="272" ht="19" customHeight="1">
      <c r="A272" s="5"/>
      <c r="B272" s="5">
        <f>IF('Actual Game'!B272="","",'Actual Game'!B272)</f>
      </c>
      <c r="C272" s="5">
        <f>IF('App Log'!B272="","",'App Log'!B272)</f>
      </c>
      <c r="D272" s="5">
        <f>IF(AND('Actual Game'!B272="",'App Log'!B272=""),"",IF(TRIM('Actual Game'!B272&amp;"")=TRIM('App Log'!B272&amp;""),"MATCH","DIFF"))</f>
      </c>
      <c r="E272" s="5">
        <f>IF('Actual Game'!C272="","",'Actual Game'!C272)</f>
      </c>
      <c r="F272" s="5">
        <f>IF('App Log'!C272="","",'App Log'!C272)</f>
      </c>
      <c r="G272" s="5">
        <f>IF(AND('Actual Game'!C272="",'App Log'!C272=""),"",IF(TRIM('Actual Game'!C272&amp;"")=TRIM('App Log'!C272&amp;""),"MATCH","DIFF"))</f>
      </c>
      <c r="H272" s="5">
        <f>IF('Actual Game'!D272="","",'Actual Game'!D272)</f>
      </c>
      <c r="I272" s="5">
        <f>IF('App Log'!D272="","",'App Log'!D272)</f>
      </c>
      <c r="J272" s="5">
        <f>IF(AND('Actual Game'!D272="",'App Log'!D272=""),"",IF(TRIM('Actual Game'!D272&amp;"")=TRIM('App Log'!D272&amp;""),"MATCH","DIFF"))</f>
      </c>
      <c r="K272" s="5">
        <f>IF('Actual Game'!E272="","",'Actual Game'!E272)</f>
      </c>
      <c r="L272" s="5">
        <f>IF('App Log'!E272="","",'App Log'!E272)</f>
      </c>
      <c r="M272" s="5">
        <f>IF(AND('Actual Game'!E272="",'App Log'!E272=""),"",IF(TRIM('Actual Game'!E272&amp;"")=TRIM('App Log'!E272&amp;""),"MATCH","DIFF"))</f>
      </c>
      <c r="N272" s="5">
        <f>IF('Actual Game'!F272="","",'Actual Game'!F272)</f>
      </c>
      <c r="O272" s="5">
        <f>IF('App Log'!F272="","",'App Log'!F272)</f>
      </c>
      <c r="P272" s="5">
        <f>IF(AND('Actual Game'!F272="",'App Log'!F272=""),"",IF(TRIM('Actual Game'!F272&amp;"")=TRIM('App Log'!F272&amp;""),"MATCH","DIFF"))</f>
      </c>
      <c r="Q272" s="5">
        <f>IF('Actual Game'!I272="","",'Actual Game'!I272)</f>
      </c>
      <c r="R272" s="5">
        <f>IF('App Log'!I272="","",'App Log'!I272)</f>
      </c>
      <c r="S272" s="5">
        <f>IF(AND('Actual Game'!I272="",'App Log'!I272=""),"",IF(TRIM('Actual Game'!I272&amp;"")=TRIM('App Log'!I272&amp;""),"MATCH","DIFF"))</f>
      </c>
      <c r="T272" s="5">
        <f>IF('Actual Game'!H272="","",'Actual Game'!H272)</f>
      </c>
      <c r="U272" s="5">
        <f>IF('App Log'!H272="","",'App Log'!H272)</f>
      </c>
      <c r="V272" s="5">
        <f>IF(AND('Actual Game'!H272="",'App Log'!H272=""),"",IF(TRIM('Actual Game'!H272&amp;"")=TRIM('App Log'!H272&amp;""),"MATCH","DIFF"))</f>
      </c>
      <c r="W272" s="5">
        <f>IF('Actual Game'!J272="","",'Actual Game'!J272)</f>
      </c>
      <c r="X272" s="5">
        <f>IF('App Log'!J272="","",'App Log'!J272)</f>
      </c>
      <c r="Y272" s="5">
        <f>IF(AND('Actual Game'!J272="",'App Log'!J272=""),"",IF(TRIM('Actual Game'!J272&amp;"")=TRIM('App Log'!J272&amp;""),"MATCH","DIFF"))</f>
      </c>
      <c r="Z272" s="5">
        <f>IF('Actual Game'!K272="","",'Actual Game'!K272)</f>
      </c>
      <c r="AA272" s="5">
        <f>IF('App Log'!K272="","",'App Log'!K272)</f>
      </c>
      <c r="AB272" s="5">
        <f>IF(AND('Actual Game'!K272="",'App Log'!K272=""),"",IF(TRIM('Actual Game'!K272&amp;"")=TRIM('App Log'!K272&amp;""),"MATCH","DIFF"))</f>
      </c>
      <c r="AC272" s="5">
        <f>IF(AND('Actual Game'!A272="",'App Log'!A272=""),"",IF(COUNTIF(D272:AB272,"DIFF")=0,"MATCH","CHECK"))</f>
      </c>
    </row>
    <row r="273" ht="19" customHeight="1">
      <c r="A273" s="5"/>
      <c r="B273" s="5">
        <f>IF('Actual Game'!B273="","",'Actual Game'!B273)</f>
      </c>
      <c r="C273" s="5">
        <f>IF('App Log'!B273="","",'App Log'!B273)</f>
      </c>
      <c r="D273" s="5">
        <f>IF(AND('Actual Game'!B273="",'App Log'!B273=""),"",IF(TRIM('Actual Game'!B273&amp;"")=TRIM('App Log'!B273&amp;""),"MATCH","DIFF"))</f>
      </c>
      <c r="E273" s="5">
        <f>IF('Actual Game'!C273="","",'Actual Game'!C273)</f>
      </c>
      <c r="F273" s="5">
        <f>IF('App Log'!C273="","",'App Log'!C273)</f>
      </c>
      <c r="G273" s="5">
        <f>IF(AND('Actual Game'!C273="",'App Log'!C273=""),"",IF(TRIM('Actual Game'!C273&amp;"")=TRIM('App Log'!C273&amp;""),"MATCH","DIFF"))</f>
      </c>
      <c r="H273" s="5">
        <f>IF('Actual Game'!D273="","",'Actual Game'!D273)</f>
      </c>
      <c r="I273" s="5">
        <f>IF('App Log'!D273="","",'App Log'!D273)</f>
      </c>
      <c r="J273" s="5">
        <f>IF(AND('Actual Game'!D273="",'App Log'!D273=""),"",IF(TRIM('Actual Game'!D273&amp;"")=TRIM('App Log'!D273&amp;""),"MATCH","DIFF"))</f>
      </c>
      <c r="K273" s="5">
        <f>IF('Actual Game'!E273="","",'Actual Game'!E273)</f>
      </c>
      <c r="L273" s="5">
        <f>IF('App Log'!E273="","",'App Log'!E273)</f>
      </c>
      <c r="M273" s="5">
        <f>IF(AND('Actual Game'!E273="",'App Log'!E273=""),"",IF(TRIM('Actual Game'!E273&amp;"")=TRIM('App Log'!E273&amp;""),"MATCH","DIFF"))</f>
      </c>
      <c r="N273" s="5">
        <f>IF('Actual Game'!F273="","",'Actual Game'!F273)</f>
      </c>
      <c r="O273" s="5">
        <f>IF('App Log'!F273="","",'App Log'!F273)</f>
      </c>
      <c r="P273" s="5">
        <f>IF(AND('Actual Game'!F273="",'App Log'!F273=""),"",IF(TRIM('Actual Game'!F273&amp;"")=TRIM('App Log'!F273&amp;""),"MATCH","DIFF"))</f>
      </c>
      <c r="Q273" s="5">
        <f>IF('Actual Game'!I273="","",'Actual Game'!I273)</f>
      </c>
      <c r="R273" s="5">
        <f>IF('App Log'!I273="","",'App Log'!I273)</f>
      </c>
      <c r="S273" s="5">
        <f>IF(AND('Actual Game'!I273="",'App Log'!I273=""),"",IF(TRIM('Actual Game'!I273&amp;"")=TRIM('App Log'!I273&amp;""),"MATCH","DIFF"))</f>
      </c>
      <c r="T273" s="5">
        <f>IF('Actual Game'!H273="","",'Actual Game'!H273)</f>
      </c>
      <c r="U273" s="5">
        <f>IF('App Log'!H273="","",'App Log'!H273)</f>
      </c>
      <c r="V273" s="5">
        <f>IF(AND('Actual Game'!H273="",'App Log'!H273=""),"",IF(TRIM('Actual Game'!H273&amp;"")=TRIM('App Log'!H273&amp;""),"MATCH","DIFF"))</f>
      </c>
      <c r="W273" s="5">
        <f>IF('Actual Game'!J273="","",'Actual Game'!J273)</f>
      </c>
      <c r="X273" s="5">
        <f>IF('App Log'!J273="","",'App Log'!J273)</f>
      </c>
      <c r="Y273" s="5">
        <f>IF(AND('Actual Game'!J273="",'App Log'!J273=""),"",IF(TRIM('Actual Game'!J273&amp;"")=TRIM('App Log'!J273&amp;""),"MATCH","DIFF"))</f>
      </c>
      <c r="Z273" s="5">
        <f>IF('Actual Game'!K273="","",'Actual Game'!K273)</f>
      </c>
      <c r="AA273" s="5">
        <f>IF('App Log'!K273="","",'App Log'!K273)</f>
      </c>
      <c r="AB273" s="5">
        <f>IF(AND('Actual Game'!K273="",'App Log'!K273=""),"",IF(TRIM('Actual Game'!K273&amp;"")=TRIM('App Log'!K273&amp;""),"MATCH","DIFF"))</f>
      </c>
      <c r="AC273" s="5">
        <f>IF(AND('Actual Game'!A273="",'App Log'!A273=""),"",IF(COUNTIF(D273:AB273,"DIFF")=0,"MATCH","CHECK"))</f>
      </c>
    </row>
    <row r="274" ht="19" customHeight="1">
      <c r="A274" s="5"/>
      <c r="B274" s="5">
        <f>IF('Actual Game'!B274="","",'Actual Game'!B274)</f>
      </c>
      <c r="C274" s="5">
        <f>IF('App Log'!B274="","",'App Log'!B274)</f>
      </c>
      <c r="D274" s="5">
        <f>IF(AND('Actual Game'!B274="",'App Log'!B274=""),"",IF(TRIM('Actual Game'!B274&amp;"")=TRIM('App Log'!B274&amp;""),"MATCH","DIFF"))</f>
      </c>
      <c r="E274" s="5">
        <f>IF('Actual Game'!C274="","",'Actual Game'!C274)</f>
      </c>
      <c r="F274" s="5">
        <f>IF('App Log'!C274="","",'App Log'!C274)</f>
      </c>
      <c r="G274" s="5">
        <f>IF(AND('Actual Game'!C274="",'App Log'!C274=""),"",IF(TRIM('Actual Game'!C274&amp;"")=TRIM('App Log'!C274&amp;""),"MATCH","DIFF"))</f>
      </c>
      <c r="H274" s="5">
        <f>IF('Actual Game'!D274="","",'Actual Game'!D274)</f>
      </c>
      <c r="I274" s="5">
        <f>IF('App Log'!D274="","",'App Log'!D274)</f>
      </c>
      <c r="J274" s="5">
        <f>IF(AND('Actual Game'!D274="",'App Log'!D274=""),"",IF(TRIM('Actual Game'!D274&amp;"")=TRIM('App Log'!D274&amp;""),"MATCH","DIFF"))</f>
      </c>
      <c r="K274" s="5">
        <f>IF('Actual Game'!E274="","",'Actual Game'!E274)</f>
      </c>
      <c r="L274" s="5">
        <f>IF('App Log'!E274="","",'App Log'!E274)</f>
      </c>
      <c r="M274" s="5">
        <f>IF(AND('Actual Game'!E274="",'App Log'!E274=""),"",IF(TRIM('Actual Game'!E274&amp;"")=TRIM('App Log'!E274&amp;""),"MATCH","DIFF"))</f>
      </c>
      <c r="N274" s="5">
        <f>IF('Actual Game'!F274="","",'Actual Game'!F274)</f>
      </c>
      <c r="O274" s="5">
        <f>IF('App Log'!F274="","",'App Log'!F274)</f>
      </c>
      <c r="P274" s="5">
        <f>IF(AND('Actual Game'!F274="",'App Log'!F274=""),"",IF(TRIM('Actual Game'!F274&amp;"")=TRIM('App Log'!F274&amp;""),"MATCH","DIFF"))</f>
      </c>
      <c r="Q274" s="5">
        <f>IF('Actual Game'!I274="","",'Actual Game'!I274)</f>
      </c>
      <c r="R274" s="5">
        <f>IF('App Log'!I274="","",'App Log'!I274)</f>
      </c>
      <c r="S274" s="5">
        <f>IF(AND('Actual Game'!I274="",'App Log'!I274=""),"",IF(TRIM('Actual Game'!I274&amp;"")=TRIM('App Log'!I274&amp;""),"MATCH","DIFF"))</f>
      </c>
      <c r="T274" s="5">
        <f>IF('Actual Game'!H274="","",'Actual Game'!H274)</f>
      </c>
      <c r="U274" s="5">
        <f>IF('App Log'!H274="","",'App Log'!H274)</f>
      </c>
      <c r="V274" s="5">
        <f>IF(AND('Actual Game'!H274="",'App Log'!H274=""),"",IF(TRIM('Actual Game'!H274&amp;"")=TRIM('App Log'!H274&amp;""),"MATCH","DIFF"))</f>
      </c>
      <c r="W274" s="5">
        <f>IF('Actual Game'!J274="","",'Actual Game'!J274)</f>
      </c>
      <c r="X274" s="5">
        <f>IF('App Log'!J274="","",'App Log'!J274)</f>
      </c>
      <c r="Y274" s="5">
        <f>IF(AND('Actual Game'!J274="",'App Log'!J274=""),"",IF(TRIM('Actual Game'!J274&amp;"")=TRIM('App Log'!J274&amp;""),"MATCH","DIFF"))</f>
      </c>
      <c r="Z274" s="5">
        <f>IF('Actual Game'!K274="","",'Actual Game'!K274)</f>
      </c>
      <c r="AA274" s="5">
        <f>IF('App Log'!K274="","",'App Log'!K274)</f>
      </c>
      <c r="AB274" s="5">
        <f>IF(AND('Actual Game'!K274="",'App Log'!K274=""),"",IF(TRIM('Actual Game'!K274&amp;"")=TRIM('App Log'!K274&amp;""),"MATCH","DIFF"))</f>
      </c>
      <c r="AC274" s="5">
        <f>IF(AND('Actual Game'!A274="",'App Log'!A274=""),"",IF(COUNTIF(D274:AB274,"DIFF")=0,"MATCH","CHECK"))</f>
      </c>
    </row>
    <row r="275" ht="19" customHeight="1">
      <c r="A275" s="5"/>
      <c r="B275" s="5">
        <f>IF('Actual Game'!B275="","",'Actual Game'!B275)</f>
      </c>
      <c r="C275" s="5">
        <f>IF('App Log'!B275="","",'App Log'!B275)</f>
      </c>
      <c r="D275" s="5">
        <f>IF(AND('Actual Game'!B275="",'App Log'!B275=""),"",IF(TRIM('Actual Game'!B275&amp;"")=TRIM('App Log'!B275&amp;""),"MATCH","DIFF"))</f>
      </c>
      <c r="E275" s="5">
        <f>IF('Actual Game'!C275="","",'Actual Game'!C275)</f>
      </c>
      <c r="F275" s="5">
        <f>IF('App Log'!C275="","",'App Log'!C275)</f>
      </c>
      <c r="G275" s="5">
        <f>IF(AND('Actual Game'!C275="",'App Log'!C275=""),"",IF(TRIM('Actual Game'!C275&amp;"")=TRIM('App Log'!C275&amp;""),"MATCH","DIFF"))</f>
      </c>
      <c r="H275" s="5">
        <f>IF('Actual Game'!D275="","",'Actual Game'!D275)</f>
      </c>
      <c r="I275" s="5">
        <f>IF('App Log'!D275="","",'App Log'!D275)</f>
      </c>
      <c r="J275" s="5">
        <f>IF(AND('Actual Game'!D275="",'App Log'!D275=""),"",IF(TRIM('Actual Game'!D275&amp;"")=TRIM('App Log'!D275&amp;""),"MATCH","DIFF"))</f>
      </c>
      <c r="K275" s="5">
        <f>IF('Actual Game'!E275="","",'Actual Game'!E275)</f>
      </c>
      <c r="L275" s="5">
        <f>IF('App Log'!E275="","",'App Log'!E275)</f>
      </c>
      <c r="M275" s="5">
        <f>IF(AND('Actual Game'!E275="",'App Log'!E275=""),"",IF(TRIM('Actual Game'!E275&amp;"")=TRIM('App Log'!E275&amp;""),"MATCH","DIFF"))</f>
      </c>
      <c r="N275" s="5">
        <f>IF('Actual Game'!F275="","",'Actual Game'!F275)</f>
      </c>
      <c r="O275" s="5">
        <f>IF('App Log'!F275="","",'App Log'!F275)</f>
      </c>
      <c r="P275" s="5">
        <f>IF(AND('Actual Game'!F275="",'App Log'!F275=""),"",IF(TRIM('Actual Game'!F275&amp;"")=TRIM('App Log'!F275&amp;""),"MATCH","DIFF"))</f>
      </c>
      <c r="Q275" s="5">
        <f>IF('Actual Game'!I275="","",'Actual Game'!I275)</f>
      </c>
      <c r="R275" s="5">
        <f>IF('App Log'!I275="","",'App Log'!I275)</f>
      </c>
      <c r="S275" s="5">
        <f>IF(AND('Actual Game'!I275="",'App Log'!I275=""),"",IF(TRIM('Actual Game'!I275&amp;"")=TRIM('App Log'!I275&amp;""),"MATCH","DIFF"))</f>
      </c>
      <c r="T275" s="5">
        <f>IF('Actual Game'!H275="","",'Actual Game'!H275)</f>
      </c>
      <c r="U275" s="5">
        <f>IF('App Log'!H275="","",'App Log'!H275)</f>
      </c>
      <c r="V275" s="5">
        <f>IF(AND('Actual Game'!H275="",'App Log'!H275=""),"",IF(TRIM('Actual Game'!H275&amp;"")=TRIM('App Log'!H275&amp;""),"MATCH","DIFF"))</f>
      </c>
      <c r="W275" s="5">
        <f>IF('Actual Game'!J275="","",'Actual Game'!J275)</f>
      </c>
      <c r="X275" s="5">
        <f>IF('App Log'!J275="","",'App Log'!J275)</f>
      </c>
      <c r="Y275" s="5">
        <f>IF(AND('Actual Game'!J275="",'App Log'!J275=""),"",IF(TRIM('Actual Game'!J275&amp;"")=TRIM('App Log'!J275&amp;""),"MATCH","DIFF"))</f>
      </c>
      <c r="Z275" s="5">
        <f>IF('Actual Game'!K275="","",'Actual Game'!K275)</f>
      </c>
      <c r="AA275" s="5">
        <f>IF('App Log'!K275="","",'App Log'!K275)</f>
      </c>
      <c r="AB275" s="5">
        <f>IF(AND('Actual Game'!K275="",'App Log'!K275=""),"",IF(TRIM('Actual Game'!K275&amp;"")=TRIM('App Log'!K275&amp;""),"MATCH","DIFF"))</f>
      </c>
      <c r="AC275" s="5">
        <f>IF(AND('Actual Game'!A275="",'App Log'!A275=""),"",IF(COUNTIF(D275:AB275,"DIFF")=0,"MATCH","CHECK"))</f>
      </c>
    </row>
    <row r="276" ht="19" customHeight="1">
      <c r="A276" s="5"/>
      <c r="B276" s="5">
        <f>IF('Actual Game'!B276="","",'Actual Game'!B276)</f>
      </c>
      <c r="C276" s="5">
        <f>IF('App Log'!B276="","",'App Log'!B276)</f>
      </c>
      <c r="D276" s="5">
        <f>IF(AND('Actual Game'!B276="",'App Log'!B276=""),"",IF(TRIM('Actual Game'!B276&amp;"")=TRIM('App Log'!B276&amp;""),"MATCH","DIFF"))</f>
      </c>
      <c r="E276" s="5">
        <f>IF('Actual Game'!C276="","",'Actual Game'!C276)</f>
      </c>
      <c r="F276" s="5">
        <f>IF('App Log'!C276="","",'App Log'!C276)</f>
      </c>
      <c r="G276" s="5">
        <f>IF(AND('Actual Game'!C276="",'App Log'!C276=""),"",IF(TRIM('Actual Game'!C276&amp;"")=TRIM('App Log'!C276&amp;""),"MATCH","DIFF"))</f>
      </c>
      <c r="H276" s="5">
        <f>IF('Actual Game'!D276="","",'Actual Game'!D276)</f>
      </c>
      <c r="I276" s="5">
        <f>IF('App Log'!D276="","",'App Log'!D276)</f>
      </c>
      <c r="J276" s="5">
        <f>IF(AND('Actual Game'!D276="",'App Log'!D276=""),"",IF(TRIM('Actual Game'!D276&amp;"")=TRIM('App Log'!D276&amp;""),"MATCH","DIFF"))</f>
      </c>
      <c r="K276" s="5">
        <f>IF('Actual Game'!E276="","",'Actual Game'!E276)</f>
      </c>
      <c r="L276" s="5">
        <f>IF('App Log'!E276="","",'App Log'!E276)</f>
      </c>
      <c r="M276" s="5">
        <f>IF(AND('Actual Game'!E276="",'App Log'!E276=""),"",IF(TRIM('Actual Game'!E276&amp;"")=TRIM('App Log'!E276&amp;""),"MATCH","DIFF"))</f>
      </c>
      <c r="N276" s="5">
        <f>IF('Actual Game'!F276="","",'Actual Game'!F276)</f>
      </c>
      <c r="O276" s="5">
        <f>IF('App Log'!F276="","",'App Log'!F276)</f>
      </c>
      <c r="P276" s="5">
        <f>IF(AND('Actual Game'!F276="",'App Log'!F276=""),"",IF(TRIM('Actual Game'!F276&amp;"")=TRIM('App Log'!F276&amp;""),"MATCH","DIFF"))</f>
      </c>
      <c r="Q276" s="5">
        <f>IF('Actual Game'!I276="","",'Actual Game'!I276)</f>
      </c>
      <c r="R276" s="5">
        <f>IF('App Log'!I276="","",'App Log'!I276)</f>
      </c>
      <c r="S276" s="5">
        <f>IF(AND('Actual Game'!I276="",'App Log'!I276=""),"",IF(TRIM('Actual Game'!I276&amp;"")=TRIM('App Log'!I276&amp;""),"MATCH","DIFF"))</f>
      </c>
      <c r="T276" s="5">
        <f>IF('Actual Game'!H276="","",'Actual Game'!H276)</f>
      </c>
      <c r="U276" s="5">
        <f>IF('App Log'!H276="","",'App Log'!H276)</f>
      </c>
      <c r="V276" s="5">
        <f>IF(AND('Actual Game'!H276="",'App Log'!H276=""),"",IF(TRIM('Actual Game'!H276&amp;"")=TRIM('App Log'!H276&amp;""),"MATCH","DIFF"))</f>
      </c>
      <c r="W276" s="5">
        <f>IF('Actual Game'!J276="","",'Actual Game'!J276)</f>
      </c>
      <c r="X276" s="5">
        <f>IF('App Log'!J276="","",'App Log'!J276)</f>
      </c>
      <c r="Y276" s="5">
        <f>IF(AND('Actual Game'!J276="",'App Log'!J276=""),"",IF(TRIM('Actual Game'!J276&amp;"")=TRIM('App Log'!J276&amp;""),"MATCH","DIFF"))</f>
      </c>
      <c r="Z276" s="5">
        <f>IF('Actual Game'!K276="","",'Actual Game'!K276)</f>
      </c>
      <c r="AA276" s="5">
        <f>IF('App Log'!K276="","",'App Log'!K276)</f>
      </c>
      <c r="AB276" s="5">
        <f>IF(AND('Actual Game'!K276="",'App Log'!K276=""),"",IF(TRIM('Actual Game'!K276&amp;"")=TRIM('App Log'!K276&amp;""),"MATCH","DIFF"))</f>
      </c>
      <c r="AC276" s="5">
        <f>IF(AND('Actual Game'!A276="",'App Log'!A276=""),"",IF(COUNTIF(D276:AB276,"DIFF")=0,"MATCH","CHECK"))</f>
      </c>
    </row>
    <row r="277" ht="19" customHeight="1">
      <c r="A277" s="5"/>
      <c r="B277" s="5">
        <f>IF('Actual Game'!B277="","",'Actual Game'!B277)</f>
      </c>
      <c r="C277" s="5">
        <f>IF('App Log'!B277="","",'App Log'!B277)</f>
      </c>
      <c r="D277" s="5">
        <f>IF(AND('Actual Game'!B277="",'App Log'!B277=""),"",IF(TRIM('Actual Game'!B277&amp;"")=TRIM('App Log'!B277&amp;""),"MATCH","DIFF"))</f>
      </c>
      <c r="E277" s="5">
        <f>IF('Actual Game'!C277="","",'Actual Game'!C277)</f>
      </c>
      <c r="F277" s="5">
        <f>IF('App Log'!C277="","",'App Log'!C277)</f>
      </c>
      <c r="G277" s="5">
        <f>IF(AND('Actual Game'!C277="",'App Log'!C277=""),"",IF(TRIM('Actual Game'!C277&amp;"")=TRIM('App Log'!C277&amp;""),"MATCH","DIFF"))</f>
      </c>
      <c r="H277" s="5">
        <f>IF('Actual Game'!D277="","",'Actual Game'!D277)</f>
      </c>
      <c r="I277" s="5">
        <f>IF('App Log'!D277="","",'App Log'!D277)</f>
      </c>
      <c r="J277" s="5">
        <f>IF(AND('Actual Game'!D277="",'App Log'!D277=""),"",IF(TRIM('Actual Game'!D277&amp;"")=TRIM('App Log'!D277&amp;""),"MATCH","DIFF"))</f>
      </c>
      <c r="K277" s="5">
        <f>IF('Actual Game'!E277="","",'Actual Game'!E277)</f>
      </c>
      <c r="L277" s="5">
        <f>IF('App Log'!E277="","",'App Log'!E277)</f>
      </c>
      <c r="M277" s="5">
        <f>IF(AND('Actual Game'!E277="",'App Log'!E277=""),"",IF(TRIM('Actual Game'!E277&amp;"")=TRIM('App Log'!E277&amp;""),"MATCH","DIFF"))</f>
      </c>
      <c r="N277" s="5">
        <f>IF('Actual Game'!F277="","",'Actual Game'!F277)</f>
      </c>
      <c r="O277" s="5">
        <f>IF('App Log'!F277="","",'App Log'!F277)</f>
      </c>
      <c r="P277" s="5">
        <f>IF(AND('Actual Game'!F277="",'App Log'!F277=""),"",IF(TRIM('Actual Game'!F277&amp;"")=TRIM('App Log'!F277&amp;""),"MATCH","DIFF"))</f>
      </c>
      <c r="Q277" s="5">
        <f>IF('Actual Game'!I277="","",'Actual Game'!I277)</f>
      </c>
      <c r="R277" s="5">
        <f>IF('App Log'!I277="","",'App Log'!I277)</f>
      </c>
      <c r="S277" s="5">
        <f>IF(AND('Actual Game'!I277="",'App Log'!I277=""),"",IF(TRIM('Actual Game'!I277&amp;"")=TRIM('App Log'!I277&amp;""),"MATCH","DIFF"))</f>
      </c>
      <c r="T277" s="5">
        <f>IF('Actual Game'!H277="","",'Actual Game'!H277)</f>
      </c>
      <c r="U277" s="5">
        <f>IF('App Log'!H277="","",'App Log'!H277)</f>
      </c>
      <c r="V277" s="5">
        <f>IF(AND('Actual Game'!H277="",'App Log'!H277=""),"",IF(TRIM('Actual Game'!H277&amp;"")=TRIM('App Log'!H277&amp;""),"MATCH","DIFF"))</f>
      </c>
      <c r="W277" s="5">
        <f>IF('Actual Game'!J277="","",'Actual Game'!J277)</f>
      </c>
      <c r="X277" s="5">
        <f>IF('App Log'!J277="","",'App Log'!J277)</f>
      </c>
      <c r="Y277" s="5">
        <f>IF(AND('Actual Game'!J277="",'App Log'!J277=""),"",IF(TRIM('Actual Game'!J277&amp;"")=TRIM('App Log'!J277&amp;""),"MATCH","DIFF"))</f>
      </c>
      <c r="Z277" s="5">
        <f>IF('Actual Game'!K277="","",'Actual Game'!K277)</f>
      </c>
      <c r="AA277" s="5">
        <f>IF('App Log'!K277="","",'App Log'!K277)</f>
      </c>
      <c r="AB277" s="5">
        <f>IF(AND('Actual Game'!K277="",'App Log'!K277=""),"",IF(TRIM('Actual Game'!K277&amp;"")=TRIM('App Log'!K277&amp;""),"MATCH","DIFF"))</f>
      </c>
      <c r="AC277" s="5">
        <f>IF(AND('Actual Game'!A277="",'App Log'!A277=""),"",IF(COUNTIF(D277:AB277,"DIFF")=0,"MATCH","CHECK"))</f>
      </c>
    </row>
    <row r="278" ht="19" customHeight="1">
      <c r="A278" s="5"/>
      <c r="B278" s="5">
        <f>IF('Actual Game'!B278="","",'Actual Game'!B278)</f>
      </c>
      <c r="C278" s="5">
        <f>IF('App Log'!B278="","",'App Log'!B278)</f>
      </c>
      <c r="D278" s="5">
        <f>IF(AND('Actual Game'!B278="",'App Log'!B278=""),"",IF(TRIM('Actual Game'!B278&amp;"")=TRIM('App Log'!B278&amp;""),"MATCH","DIFF"))</f>
      </c>
      <c r="E278" s="5">
        <f>IF('Actual Game'!C278="","",'Actual Game'!C278)</f>
      </c>
      <c r="F278" s="5">
        <f>IF('App Log'!C278="","",'App Log'!C278)</f>
      </c>
      <c r="G278" s="5">
        <f>IF(AND('Actual Game'!C278="",'App Log'!C278=""),"",IF(TRIM('Actual Game'!C278&amp;"")=TRIM('App Log'!C278&amp;""),"MATCH","DIFF"))</f>
      </c>
      <c r="H278" s="5">
        <f>IF('Actual Game'!D278="","",'Actual Game'!D278)</f>
      </c>
      <c r="I278" s="5">
        <f>IF('App Log'!D278="","",'App Log'!D278)</f>
      </c>
      <c r="J278" s="5">
        <f>IF(AND('Actual Game'!D278="",'App Log'!D278=""),"",IF(TRIM('Actual Game'!D278&amp;"")=TRIM('App Log'!D278&amp;""),"MATCH","DIFF"))</f>
      </c>
      <c r="K278" s="5">
        <f>IF('Actual Game'!E278="","",'Actual Game'!E278)</f>
      </c>
      <c r="L278" s="5">
        <f>IF('App Log'!E278="","",'App Log'!E278)</f>
      </c>
      <c r="M278" s="5">
        <f>IF(AND('Actual Game'!E278="",'App Log'!E278=""),"",IF(TRIM('Actual Game'!E278&amp;"")=TRIM('App Log'!E278&amp;""),"MATCH","DIFF"))</f>
      </c>
      <c r="N278" s="5">
        <f>IF('Actual Game'!F278="","",'Actual Game'!F278)</f>
      </c>
      <c r="O278" s="5">
        <f>IF('App Log'!F278="","",'App Log'!F278)</f>
      </c>
      <c r="P278" s="5">
        <f>IF(AND('Actual Game'!F278="",'App Log'!F278=""),"",IF(TRIM('Actual Game'!F278&amp;"")=TRIM('App Log'!F278&amp;""),"MATCH","DIFF"))</f>
      </c>
      <c r="Q278" s="5">
        <f>IF('Actual Game'!I278="","",'Actual Game'!I278)</f>
      </c>
      <c r="R278" s="5">
        <f>IF('App Log'!I278="","",'App Log'!I278)</f>
      </c>
      <c r="S278" s="5">
        <f>IF(AND('Actual Game'!I278="",'App Log'!I278=""),"",IF(TRIM('Actual Game'!I278&amp;"")=TRIM('App Log'!I278&amp;""),"MATCH","DIFF"))</f>
      </c>
      <c r="T278" s="5">
        <f>IF('Actual Game'!H278="","",'Actual Game'!H278)</f>
      </c>
      <c r="U278" s="5">
        <f>IF('App Log'!H278="","",'App Log'!H278)</f>
      </c>
      <c r="V278" s="5">
        <f>IF(AND('Actual Game'!H278="",'App Log'!H278=""),"",IF(TRIM('Actual Game'!H278&amp;"")=TRIM('App Log'!H278&amp;""),"MATCH","DIFF"))</f>
      </c>
      <c r="W278" s="5">
        <f>IF('Actual Game'!J278="","",'Actual Game'!J278)</f>
      </c>
      <c r="X278" s="5">
        <f>IF('App Log'!J278="","",'App Log'!J278)</f>
      </c>
      <c r="Y278" s="5">
        <f>IF(AND('Actual Game'!J278="",'App Log'!J278=""),"",IF(TRIM('Actual Game'!J278&amp;"")=TRIM('App Log'!J278&amp;""),"MATCH","DIFF"))</f>
      </c>
      <c r="Z278" s="5">
        <f>IF('Actual Game'!K278="","",'Actual Game'!K278)</f>
      </c>
      <c r="AA278" s="5">
        <f>IF('App Log'!K278="","",'App Log'!K278)</f>
      </c>
      <c r="AB278" s="5">
        <f>IF(AND('Actual Game'!K278="",'App Log'!K278=""),"",IF(TRIM('Actual Game'!K278&amp;"")=TRIM('App Log'!K278&amp;""),"MATCH","DIFF"))</f>
      </c>
      <c r="AC278" s="5">
        <f>IF(AND('Actual Game'!A278="",'App Log'!A278=""),"",IF(COUNTIF(D278:AB278,"DIFF")=0,"MATCH","CHECK"))</f>
      </c>
    </row>
    <row r="279" ht="19" customHeight="1">
      <c r="A279" s="5"/>
      <c r="B279" s="5">
        <f>IF('Actual Game'!B279="","",'Actual Game'!B279)</f>
      </c>
      <c r="C279" s="5">
        <f>IF('App Log'!B279="","",'App Log'!B279)</f>
      </c>
      <c r="D279" s="5">
        <f>IF(AND('Actual Game'!B279="",'App Log'!B279=""),"",IF(TRIM('Actual Game'!B279&amp;"")=TRIM('App Log'!B279&amp;""),"MATCH","DIFF"))</f>
      </c>
      <c r="E279" s="5">
        <f>IF('Actual Game'!C279="","",'Actual Game'!C279)</f>
      </c>
      <c r="F279" s="5">
        <f>IF('App Log'!C279="","",'App Log'!C279)</f>
      </c>
      <c r="G279" s="5">
        <f>IF(AND('Actual Game'!C279="",'App Log'!C279=""),"",IF(TRIM('Actual Game'!C279&amp;"")=TRIM('App Log'!C279&amp;""),"MATCH","DIFF"))</f>
      </c>
      <c r="H279" s="5">
        <f>IF('Actual Game'!D279="","",'Actual Game'!D279)</f>
      </c>
      <c r="I279" s="5">
        <f>IF('App Log'!D279="","",'App Log'!D279)</f>
      </c>
      <c r="J279" s="5">
        <f>IF(AND('Actual Game'!D279="",'App Log'!D279=""),"",IF(TRIM('Actual Game'!D279&amp;"")=TRIM('App Log'!D279&amp;""),"MATCH","DIFF"))</f>
      </c>
      <c r="K279" s="5">
        <f>IF('Actual Game'!E279="","",'Actual Game'!E279)</f>
      </c>
      <c r="L279" s="5">
        <f>IF('App Log'!E279="","",'App Log'!E279)</f>
      </c>
      <c r="M279" s="5">
        <f>IF(AND('Actual Game'!E279="",'App Log'!E279=""),"",IF(TRIM('Actual Game'!E279&amp;"")=TRIM('App Log'!E279&amp;""),"MATCH","DIFF"))</f>
      </c>
      <c r="N279" s="5">
        <f>IF('Actual Game'!F279="","",'Actual Game'!F279)</f>
      </c>
      <c r="O279" s="5">
        <f>IF('App Log'!F279="","",'App Log'!F279)</f>
      </c>
      <c r="P279" s="5">
        <f>IF(AND('Actual Game'!F279="",'App Log'!F279=""),"",IF(TRIM('Actual Game'!F279&amp;"")=TRIM('App Log'!F279&amp;""),"MATCH","DIFF"))</f>
      </c>
      <c r="Q279" s="5">
        <f>IF('Actual Game'!I279="","",'Actual Game'!I279)</f>
      </c>
      <c r="R279" s="5">
        <f>IF('App Log'!I279="","",'App Log'!I279)</f>
      </c>
      <c r="S279" s="5">
        <f>IF(AND('Actual Game'!I279="",'App Log'!I279=""),"",IF(TRIM('Actual Game'!I279&amp;"")=TRIM('App Log'!I279&amp;""),"MATCH","DIFF"))</f>
      </c>
      <c r="T279" s="5">
        <f>IF('Actual Game'!H279="","",'Actual Game'!H279)</f>
      </c>
      <c r="U279" s="5">
        <f>IF('App Log'!H279="","",'App Log'!H279)</f>
      </c>
      <c r="V279" s="5">
        <f>IF(AND('Actual Game'!H279="",'App Log'!H279=""),"",IF(TRIM('Actual Game'!H279&amp;"")=TRIM('App Log'!H279&amp;""),"MATCH","DIFF"))</f>
      </c>
      <c r="W279" s="5">
        <f>IF('Actual Game'!J279="","",'Actual Game'!J279)</f>
      </c>
      <c r="X279" s="5">
        <f>IF('App Log'!J279="","",'App Log'!J279)</f>
      </c>
      <c r="Y279" s="5">
        <f>IF(AND('Actual Game'!J279="",'App Log'!J279=""),"",IF(TRIM('Actual Game'!J279&amp;"")=TRIM('App Log'!J279&amp;""),"MATCH","DIFF"))</f>
      </c>
      <c r="Z279" s="5">
        <f>IF('Actual Game'!K279="","",'Actual Game'!K279)</f>
      </c>
      <c r="AA279" s="5">
        <f>IF('App Log'!K279="","",'App Log'!K279)</f>
      </c>
      <c r="AB279" s="5">
        <f>IF(AND('Actual Game'!K279="",'App Log'!K279=""),"",IF(TRIM('Actual Game'!K279&amp;"")=TRIM('App Log'!K279&amp;""),"MATCH","DIFF"))</f>
      </c>
      <c r="AC279" s="5">
        <f>IF(AND('Actual Game'!A279="",'App Log'!A279=""),"",IF(COUNTIF(D279:AB279,"DIFF")=0,"MATCH","CHECK"))</f>
      </c>
    </row>
    <row r="280" ht="19" customHeight="1">
      <c r="A280" s="5"/>
      <c r="B280" s="5">
        <f>IF('Actual Game'!B280="","",'Actual Game'!B280)</f>
      </c>
      <c r="C280" s="5">
        <f>IF('App Log'!B280="","",'App Log'!B280)</f>
      </c>
      <c r="D280" s="5">
        <f>IF(AND('Actual Game'!B280="",'App Log'!B280=""),"",IF(TRIM('Actual Game'!B280&amp;"")=TRIM('App Log'!B280&amp;""),"MATCH","DIFF"))</f>
      </c>
      <c r="E280" s="5">
        <f>IF('Actual Game'!C280="","",'Actual Game'!C280)</f>
      </c>
      <c r="F280" s="5">
        <f>IF('App Log'!C280="","",'App Log'!C280)</f>
      </c>
      <c r="G280" s="5">
        <f>IF(AND('Actual Game'!C280="",'App Log'!C280=""),"",IF(TRIM('Actual Game'!C280&amp;"")=TRIM('App Log'!C280&amp;""),"MATCH","DIFF"))</f>
      </c>
      <c r="H280" s="5">
        <f>IF('Actual Game'!D280="","",'Actual Game'!D280)</f>
      </c>
      <c r="I280" s="5">
        <f>IF('App Log'!D280="","",'App Log'!D280)</f>
      </c>
      <c r="J280" s="5">
        <f>IF(AND('Actual Game'!D280="",'App Log'!D280=""),"",IF(TRIM('Actual Game'!D280&amp;"")=TRIM('App Log'!D280&amp;""),"MATCH","DIFF"))</f>
      </c>
      <c r="K280" s="5">
        <f>IF('Actual Game'!E280="","",'Actual Game'!E280)</f>
      </c>
      <c r="L280" s="5">
        <f>IF('App Log'!E280="","",'App Log'!E280)</f>
      </c>
      <c r="M280" s="5">
        <f>IF(AND('Actual Game'!E280="",'App Log'!E280=""),"",IF(TRIM('Actual Game'!E280&amp;"")=TRIM('App Log'!E280&amp;""),"MATCH","DIFF"))</f>
      </c>
      <c r="N280" s="5">
        <f>IF('Actual Game'!F280="","",'Actual Game'!F280)</f>
      </c>
      <c r="O280" s="5">
        <f>IF('App Log'!F280="","",'App Log'!F280)</f>
      </c>
      <c r="P280" s="5">
        <f>IF(AND('Actual Game'!F280="",'App Log'!F280=""),"",IF(TRIM('Actual Game'!F280&amp;"")=TRIM('App Log'!F280&amp;""),"MATCH","DIFF"))</f>
      </c>
      <c r="Q280" s="5">
        <f>IF('Actual Game'!I280="","",'Actual Game'!I280)</f>
      </c>
      <c r="R280" s="5">
        <f>IF('App Log'!I280="","",'App Log'!I280)</f>
      </c>
      <c r="S280" s="5">
        <f>IF(AND('Actual Game'!I280="",'App Log'!I280=""),"",IF(TRIM('Actual Game'!I280&amp;"")=TRIM('App Log'!I280&amp;""),"MATCH","DIFF"))</f>
      </c>
      <c r="T280" s="5">
        <f>IF('Actual Game'!H280="","",'Actual Game'!H280)</f>
      </c>
      <c r="U280" s="5">
        <f>IF('App Log'!H280="","",'App Log'!H280)</f>
      </c>
      <c r="V280" s="5">
        <f>IF(AND('Actual Game'!H280="",'App Log'!H280=""),"",IF(TRIM('Actual Game'!H280&amp;"")=TRIM('App Log'!H280&amp;""),"MATCH","DIFF"))</f>
      </c>
      <c r="W280" s="5">
        <f>IF('Actual Game'!J280="","",'Actual Game'!J280)</f>
      </c>
      <c r="X280" s="5">
        <f>IF('App Log'!J280="","",'App Log'!J280)</f>
      </c>
      <c r="Y280" s="5">
        <f>IF(AND('Actual Game'!J280="",'App Log'!J280=""),"",IF(TRIM('Actual Game'!J280&amp;"")=TRIM('App Log'!J280&amp;""),"MATCH","DIFF"))</f>
      </c>
      <c r="Z280" s="5">
        <f>IF('Actual Game'!K280="","",'Actual Game'!K280)</f>
      </c>
      <c r="AA280" s="5">
        <f>IF('App Log'!K280="","",'App Log'!K280)</f>
      </c>
      <c r="AB280" s="5">
        <f>IF(AND('Actual Game'!K280="",'App Log'!K280=""),"",IF(TRIM('Actual Game'!K280&amp;"")=TRIM('App Log'!K280&amp;""),"MATCH","DIFF"))</f>
      </c>
      <c r="AC280" s="5">
        <f>IF(AND('Actual Game'!A280="",'App Log'!A280=""),"",IF(COUNTIF(D280:AB280,"DIFF")=0,"MATCH","CHECK"))</f>
      </c>
    </row>
    <row r="281" ht="19" customHeight="1">
      <c r="A281" s="5"/>
      <c r="B281" s="5">
        <f>IF('Actual Game'!B281="","",'Actual Game'!B281)</f>
      </c>
      <c r="C281" s="5">
        <f>IF('App Log'!B281="","",'App Log'!B281)</f>
      </c>
      <c r="D281" s="5">
        <f>IF(AND('Actual Game'!B281="",'App Log'!B281=""),"",IF(TRIM('Actual Game'!B281&amp;"")=TRIM('App Log'!B281&amp;""),"MATCH","DIFF"))</f>
      </c>
      <c r="E281" s="5">
        <f>IF('Actual Game'!C281="","",'Actual Game'!C281)</f>
      </c>
      <c r="F281" s="5">
        <f>IF('App Log'!C281="","",'App Log'!C281)</f>
      </c>
      <c r="G281" s="5">
        <f>IF(AND('Actual Game'!C281="",'App Log'!C281=""),"",IF(TRIM('Actual Game'!C281&amp;"")=TRIM('App Log'!C281&amp;""),"MATCH","DIFF"))</f>
      </c>
      <c r="H281" s="5">
        <f>IF('Actual Game'!D281="","",'Actual Game'!D281)</f>
      </c>
      <c r="I281" s="5">
        <f>IF('App Log'!D281="","",'App Log'!D281)</f>
      </c>
      <c r="J281" s="5">
        <f>IF(AND('Actual Game'!D281="",'App Log'!D281=""),"",IF(TRIM('Actual Game'!D281&amp;"")=TRIM('App Log'!D281&amp;""),"MATCH","DIFF"))</f>
      </c>
      <c r="K281" s="5">
        <f>IF('Actual Game'!E281="","",'Actual Game'!E281)</f>
      </c>
      <c r="L281" s="5">
        <f>IF('App Log'!E281="","",'App Log'!E281)</f>
      </c>
      <c r="M281" s="5">
        <f>IF(AND('Actual Game'!E281="",'App Log'!E281=""),"",IF(TRIM('Actual Game'!E281&amp;"")=TRIM('App Log'!E281&amp;""),"MATCH","DIFF"))</f>
      </c>
      <c r="N281" s="5">
        <f>IF('Actual Game'!F281="","",'Actual Game'!F281)</f>
      </c>
      <c r="O281" s="5">
        <f>IF('App Log'!F281="","",'App Log'!F281)</f>
      </c>
      <c r="P281" s="5">
        <f>IF(AND('Actual Game'!F281="",'App Log'!F281=""),"",IF(TRIM('Actual Game'!F281&amp;"")=TRIM('App Log'!F281&amp;""),"MATCH","DIFF"))</f>
      </c>
      <c r="Q281" s="5">
        <f>IF('Actual Game'!I281="","",'Actual Game'!I281)</f>
      </c>
      <c r="R281" s="5">
        <f>IF('App Log'!I281="","",'App Log'!I281)</f>
      </c>
      <c r="S281" s="5">
        <f>IF(AND('Actual Game'!I281="",'App Log'!I281=""),"",IF(TRIM('Actual Game'!I281&amp;"")=TRIM('App Log'!I281&amp;""),"MATCH","DIFF"))</f>
      </c>
      <c r="T281" s="5">
        <f>IF('Actual Game'!H281="","",'Actual Game'!H281)</f>
      </c>
      <c r="U281" s="5">
        <f>IF('App Log'!H281="","",'App Log'!H281)</f>
      </c>
      <c r="V281" s="5">
        <f>IF(AND('Actual Game'!H281="",'App Log'!H281=""),"",IF(TRIM('Actual Game'!H281&amp;"")=TRIM('App Log'!H281&amp;""),"MATCH","DIFF"))</f>
      </c>
      <c r="W281" s="5">
        <f>IF('Actual Game'!J281="","",'Actual Game'!J281)</f>
      </c>
      <c r="X281" s="5">
        <f>IF('App Log'!J281="","",'App Log'!J281)</f>
      </c>
      <c r="Y281" s="5">
        <f>IF(AND('Actual Game'!J281="",'App Log'!J281=""),"",IF(TRIM('Actual Game'!J281&amp;"")=TRIM('App Log'!J281&amp;""),"MATCH","DIFF"))</f>
      </c>
      <c r="Z281" s="5">
        <f>IF('Actual Game'!K281="","",'Actual Game'!K281)</f>
      </c>
      <c r="AA281" s="5">
        <f>IF('App Log'!K281="","",'App Log'!K281)</f>
      </c>
      <c r="AB281" s="5">
        <f>IF(AND('Actual Game'!K281="",'App Log'!K281=""),"",IF(TRIM('Actual Game'!K281&amp;"")=TRIM('App Log'!K281&amp;""),"MATCH","DIFF"))</f>
      </c>
      <c r="AC281" s="5">
        <f>IF(AND('Actual Game'!A281="",'App Log'!A281=""),"",IF(COUNTIF(D281:AB281,"DIFF")=0,"MATCH","CHECK"))</f>
      </c>
    </row>
    <row r="282" ht="19" customHeight="1">
      <c r="A282" s="5"/>
      <c r="B282" s="5">
        <f>IF('Actual Game'!B282="","",'Actual Game'!B282)</f>
      </c>
      <c r="C282" s="5">
        <f>IF('App Log'!B282="","",'App Log'!B282)</f>
      </c>
      <c r="D282" s="5">
        <f>IF(AND('Actual Game'!B282="",'App Log'!B282=""),"",IF(TRIM('Actual Game'!B282&amp;"")=TRIM('App Log'!B282&amp;""),"MATCH","DIFF"))</f>
      </c>
      <c r="E282" s="5">
        <f>IF('Actual Game'!C282="","",'Actual Game'!C282)</f>
      </c>
      <c r="F282" s="5">
        <f>IF('App Log'!C282="","",'App Log'!C282)</f>
      </c>
      <c r="G282" s="5">
        <f>IF(AND('Actual Game'!C282="",'App Log'!C282=""),"",IF(TRIM('Actual Game'!C282&amp;"")=TRIM('App Log'!C282&amp;""),"MATCH","DIFF"))</f>
      </c>
      <c r="H282" s="5">
        <f>IF('Actual Game'!D282="","",'Actual Game'!D282)</f>
      </c>
      <c r="I282" s="5">
        <f>IF('App Log'!D282="","",'App Log'!D282)</f>
      </c>
      <c r="J282" s="5">
        <f>IF(AND('Actual Game'!D282="",'App Log'!D282=""),"",IF(TRIM('Actual Game'!D282&amp;"")=TRIM('App Log'!D282&amp;""),"MATCH","DIFF"))</f>
      </c>
      <c r="K282" s="5">
        <f>IF('Actual Game'!E282="","",'Actual Game'!E282)</f>
      </c>
      <c r="L282" s="5">
        <f>IF('App Log'!E282="","",'App Log'!E282)</f>
      </c>
      <c r="M282" s="5">
        <f>IF(AND('Actual Game'!E282="",'App Log'!E282=""),"",IF(TRIM('Actual Game'!E282&amp;"")=TRIM('App Log'!E282&amp;""),"MATCH","DIFF"))</f>
      </c>
      <c r="N282" s="5">
        <f>IF('Actual Game'!F282="","",'Actual Game'!F282)</f>
      </c>
      <c r="O282" s="5">
        <f>IF('App Log'!F282="","",'App Log'!F282)</f>
      </c>
      <c r="P282" s="5">
        <f>IF(AND('Actual Game'!F282="",'App Log'!F282=""),"",IF(TRIM('Actual Game'!F282&amp;"")=TRIM('App Log'!F282&amp;""),"MATCH","DIFF"))</f>
      </c>
      <c r="Q282" s="5">
        <f>IF('Actual Game'!I282="","",'Actual Game'!I282)</f>
      </c>
      <c r="R282" s="5">
        <f>IF('App Log'!I282="","",'App Log'!I282)</f>
      </c>
      <c r="S282" s="5">
        <f>IF(AND('Actual Game'!I282="",'App Log'!I282=""),"",IF(TRIM('Actual Game'!I282&amp;"")=TRIM('App Log'!I282&amp;""),"MATCH","DIFF"))</f>
      </c>
      <c r="T282" s="5">
        <f>IF('Actual Game'!H282="","",'Actual Game'!H282)</f>
      </c>
      <c r="U282" s="5">
        <f>IF('App Log'!H282="","",'App Log'!H282)</f>
      </c>
      <c r="V282" s="5">
        <f>IF(AND('Actual Game'!H282="",'App Log'!H282=""),"",IF(TRIM('Actual Game'!H282&amp;"")=TRIM('App Log'!H282&amp;""),"MATCH","DIFF"))</f>
      </c>
      <c r="W282" s="5">
        <f>IF('Actual Game'!J282="","",'Actual Game'!J282)</f>
      </c>
      <c r="X282" s="5">
        <f>IF('App Log'!J282="","",'App Log'!J282)</f>
      </c>
      <c r="Y282" s="5">
        <f>IF(AND('Actual Game'!J282="",'App Log'!J282=""),"",IF(TRIM('Actual Game'!J282&amp;"")=TRIM('App Log'!J282&amp;""),"MATCH","DIFF"))</f>
      </c>
      <c r="Z282" s="5">
        <f>IF('Actual Game'!K282="","",'Actual Game'!K282)</f>
      </c>
      <c r="AA282" s="5">
        <f>IF('App Log'!K282="","",'App Log'!K282)</f>
      </c>
      <c r="AB282" s="5">
        <f>IF(AND('Actual Game'!K282="",'App Log'!K282=""),"",IF(TRIM('Actual Game'!K282&amp;"")=TRIM('App Log'!K282&amp;""),"MATCH","DIFF"))</f>
      </c>
      <c r="AC282" s="5">
        <f>IF(AND('Actual Game'!A282="",'App Log'!A282=""),"",IF(COUNTIF(D282:AB282,"DIFF")=0,"MATCH","CHECK"))</f>
      </c>
    </row>
    <row r="283" ht="19" customHeight="1">
      <c r="A283" s="5"/>
      <c r="B283" s="5">
        <f>IF('Actual Game'!B283="","",'Actual Game'!B283)</f>
      </c>
      <c r="C283" s="5">
        <f>IF('App Log'!B283="","",'App Log'!B283)</f>
      </c>
      <c r="D283" s="5">
        <f>IF(AND('Actual Game'!B283="",'App Log'!B283=""),"",IF(TRIM('Actual Game'!B283&amp;"")=TRIM('App Log'!B283&amp;""),"MATCH","DIFF"))</f>
      </c>
      <c r="E283" s="5">
        <f>IF('Actual Game'!C283="","",'Actual Game'!C283)</f>
      </c>
      <c r="F283" s="5">
        <f>IF('App Log'!C283="","",'App Log'!C283)</f>
      </c>
      <c r="G283" s="5">
        <f>IF(AND('Actual Game'!C283="",'App Log'!C283=""),"",IF(TRIM('Actual Game'!C283&amp;"")=TRIM('App Log'!C283&amp;""),"MATCH","DIFF"))</f>
      </c>
      <c r="H283" s="5">
        <f>IF('Actual Game'!D283="","",'Actual Game'!D283)</f>
      </c>
      <c r="I283" s="5">
        <f>IF('App Log'!D283="","",'App Log'!D283)</f>
      </c>
      <c r="J283" s="5">
        <f>IF(AND('Actual Game'!D283="",'App Log'!D283=""),"",IF(TRIM('Actual Game'!D283&amp;"")=TRIM('App Log'!D283&amp;""),"MATCH","DIFF"))</f>
      </c>
      <c r="K283" s="5">
        <f>IF('Actual Game'!E283="","",'Actual Game'!E283)</f>
      </c>
      <c r="L283" s="5">
        <f>IF('App Log'!E283="","",'App Log'!E283)</f>
      </c>
      <c r="M283" s="5">
        <f>IF(AND('Actual Game'!E283="",'App Log'!E283=""),"",IF(TRIM('Actual Game'!E283&amp;"")=TRIM('App Log'!E283&amp;""),"MATCH","DIFF"))</f>
      </c>
      <c r="N283" s="5">
        <f>IF('Actual Game'!F283="","",'Actual Game'!F283)</f>
      </c>
      <c r="O283" s="5">
        <f>IF('App Log'!F283="","",'App Log'!F283)</f>
      </c>
      <c r="P283" s="5">
        <f>IF(AND('Actual Game'!F283="",'App Log'!F283=""),"",IF(TRIM('Actual Game'!F283&amp;"")=TRIM('App Log'!F283&amp;""),"MATCH","DIFF"))</f>
      </c>
      <c r="Q283" s="5">
        <f>IF('Actual Game'!I283="","",'Actual Game'!I283)</f>
      </c>
      <c r="R283" s="5">
        <f>IF('App Log'!I283="","",'App Log'!I283)</f>
      </c>
      <c r="S283" s="5">
        <f>IF(AND('Actual Game'!I283="",'App Log'!I283=""),"",IF(TRIM('Actual Game'!I283&amp;"")=TRIM('App Log'!I283&amp;""),"MATCH","DIFF"))</f>
      </c>
      <c r="T283" s="5">
        <f>IF('Actual Game'!H283="","",'Actual Game'!H283)</f>
      </c>
      <c r="U283" s="5">
        <f>IF('App Log'!H283="","",'App Log'!H283)</f>
      </c>
      <c r="V283" s="5">
        <f>IF(AND('Actual Game'!H283="",'App Log'!H283=""),"",IF(TRIM('Actual Game'!H283&amp;"")=TRIM('App Log'!H283&amp;""),"MATCH","DIFF"))</f>
      </c>
      <c r="W283" s="5">
        <f>IF('Actual Game'!J283="","",'Actual Game'!J283)</f>
      </c>
      <c r="X283" s="5">
        <f>IF('App Log'!J283="","",'App Log'!J283)</f>
      </c>
      <c r="Y283" s="5">
        <f>IF(AND('Actual Game'!J283="",'App Log'!J283=""),"",IF(TRIM('Actual Game'!J283&amp;"")=TRIM('App Log'!J283&amp;""),"MATCH","DIFF"))</f>
      </c>
      <c r="Z283" s="5">
        <f>IF('Actual Game'!K283="","",'Actual Game'!K283)</f>
      </c>
      <c r="AA283" s="5">
        <f>IF('App Log'!K283="","",'App Log'!K283)</f>
      </c>
      <c r="AB283" s="5">
        <f>IF(AND('Actual Game'!K283="",'App Log'!K283=""),"",IF(TRIM('Actual Game'!K283&amp;"")=TRIM('App Log'!K283&amp;""),"MATCH","DIFF"))</f>
      </c>
      <c r="AC283" s="5">
        <f>IF(AND('Actual Game'!A283="",'App Log'!A283=""),"",IF(COUNTIF(D283:AB283,"DIFF")=0,"MATCH","CHECK"))</f>
      </c>
    </row>
    <row r="284" ht="19" customHeight="1">
      <c r="A284" s="5"/>
      <c r="B284" s="5">
        <f>IF('Actual Game'!B284="","",'Actual Game'!B284)</f>
      </c>
      <c r="C284" s="5">
        <f>IF('App Log'!B284="","",'App Log'!B284)</f>
      </c>
      <c r="D284" s="5">
        <f>IF(AND('Actual Game'!B284="",'App Log'!B284=""),"",IF(TRIM('Actual Game'!B284&amp;"")=TRIM('App Log'!B284&amp;""),"MATCH","DIFF"))</f>
      </c>
      <c r="E284" s="5">
        <f>IF('Actual Game'!C284="","",'Actual Game'!C284)</f>
      </c>
      <c r="F284" s="5">
        <f>IF('App Log'!C284="","",'App Log'!C284)</f>
      </c>
      <c r="G284" s="5">
        <f>IF(AND('Actual Game'!C284="",'App Log'!C284=""),"",IF(TRIM('Actual Game'!C284&amp;"")=TRIM('App Log'!C284&amp;""),"MATCH","DIFF"))</f>
      </c>
      <c r="H284" s="5">
        <f>IF('Actual Game'!D284="","",'Actual Game'!D284)</f>
      </c>
      <c r="I284" s="5">
        <f>IF('App Log'!D284="","",'App Log'!D284)</f>
      </c>
      <c r="J284" s="5">
        <f>IF(AND('Actual Game'!D284="",'App Log'!D284=""),"",IF(TRIM('Actual Game'!D284&amp;"")=TRIM('App Log'!D284&amp;""),"MATCH","DIFF"))</f>
      </c>
      <c r="K284" s="5">
        <f>IF('Actual Game'!E284="","",'Actual Game'!E284)</f>
      </c>
      <c r="L284" s="5">
        <f>IF('App Log'!E284="","",'App Log'!E284)</f>
      </c>
      <c r="M284" s="5">
        <f>IF(AND('Actual Game'!E284="",'App Log'!E284=""),"",IF(TRIM('Actual Game'!E284&amp;"")=TRIM('App Log'!E284&amp;""),"MATCH","DIFF"))</f>
      </c>
      <c r="N284" s="5">
        <f>IF('Actual Game'!F284="","",'Actual Game'!F284)</f>
      </c>
      <c r="O284" s="5">
        <f>IF('App Log'!F284="","",'App Log'!F284)</f>
      </c>
      <c r="P284" s="5">
        <f>IF(AND('Actual Game'!F284="",'App Log'!F284=""),"",IF(TRIM('Actual Game'!F284&amp;"")=TRIM('App Log'!F284&amp;""),"MATCH","DIFF"))</f>
      </c>
      <c r="Q284" s="5">
        <f>IF('Actual Game'!I284="","",'Actual Game'!I284)</f>
      </c>
      <c r="R284" s="5">
        <f>IF('App Log'!I284="","",'App Log'!I284)</f>
      </c>
      <c r="S284" s="5">
        <f>IF(AND('Actual Game'!I284="",'App Log'!I284=""),"",IF(TRIM('Actual Game'!I284&amp;"")=TRIM('App Log'!I284&amp;""),"MATCH","DIFF"))</f>
      </c>
      <c r="T284" s="5">
        <f>IF('Actual Game'!H284="","",'Actual Game'!H284)</f>
      </c>
      <c r="U284" s="5">
        <f>IF('App Log'!H284="","",'App Log'!H284)</f>
      </c>
      <c r="V284" s="5">
        <f>IF(AND('Actual Game'!H284="",'App Log'!H284=""),"",IF(TRIM('Actual Game'!H284&amp;"")=TRIM('App Log'!H284&amp;""),"MATCH","DIFF"))</f>
      </c>
      <c r="W284" s="5">
        <f>IF('Actual Game'!J284="","",'Actual Game'!J284)</f>
      </c>
      <c r="X284" s="5">
        <f>IF('App Log'!J284="","",'App Log'!J284)</f>
      </c>
      <c r="Y284" s="5">
        <f>IF(AND('Actual Game'!J284="",'App Log'!J284=""),"",IF(TRIM('Actual Game'!J284&amp;"")=TRIM('App Log'!J284&amp;""),"MATCH","DIFF"))</f>
      </c>
      <c r="Z284" s="5">
        <f>IF('Actual Game'!K284="","",'Actual Game'!K284)</f>
      </c>
      <c r="AA284" s="5">
        <f>IF('App Log'!K284="","",'App Log'!K284)</f>
      </c>
      <c r="AB284" s="5">
        <f>IF(AND('Actual Game'!K284="",'App Log'!K284=""),"",IF(TRIM('Actual Game'!K284&amp;"")=TRIM('App Log'!K284&amp;""),"MATCH","DIFF"))</f>
      </c>
      <c r="AC284" s="5">
        <f>IF(AND('Actual Game'!A284="",'App Log'!A284=""),"",IF(COUNTIF(D284:AB284,"DIFF")=0,"MATCH","CHECK"))</f>
      </c>
    </row>
    <row r="285" ht="19" customHeight="1">
      <c r="A285" s="5"/>
      <c r="B285" s="5">
        <f>IF('Actual Game'!B285="","",'Actual Game'!B285)</f>
      </c>
      <c r="C285" s="5">
        <f>IF('App Log'!B285="","",'App Log'!B285)</f>
      </c>
      <c r="D285" s="5">
        <f>IF(AND('Actual Game'!B285="",'App Log'!B285=""),"",IF(TRIM('Actual Game'!B285&amp;"")=TRIM('App Log'!B285&amp;""),"MATCH","DIFF"))</f>
      </c>
      <c r="E285" s="5">
        <f>IF('Actual Game'!C285="","",'Actual Game'!C285)</f>
      </c>
      <c r="F285" s="5">
        <f>IF('App Log'!C285="","",'App Log'!C285)</f>
      </c>
      <c r="G285" s="5">
        <f>IF(AND('Actual Game'!C285="",'App Log'!C285=""),"",IF(TRIM('Actual Game'!C285&amp;"")=TRIM('App Log'!C285&amp;""),"MATCH","DIFF"))</f>
      </c>
      <c r="H285" s="5">
        <f>IF('Actual Game'!D285="","",'Actual Game'!D285)</f>
      </c>
      <c r="I285" s="5">
        <f>IF('App Log'!D285="","",'App Log'!D285)</f>
      </c>
      <c r="J285" s="5">
        <f>IF(AND('Actual Game'!D285="",'App Log'!D285=""),"",IF(TRIM('Actual Game'!D285&amp;"")=TRIM('App Log'!D285&amp;""),"MATCH","DIFF"))</f>
      </c>
      <c r="K285" s="5">
        <f>IF('Actual Game'!E285="","",'Actual Game'!E285)</f>
      </c>
      <c r="L285" s="5">
        <f>IF('App Log'!E285="","",'App Log'!E285)</f>
      </c>
      <c r="M285" s="5">
        <f>IF(AND('Actual Game'!E285="",'App Log'!E285=""),"",IF(TRIM('Actual Game'!E285&amp;"")=TRIM('App Log'!E285&amp;""),"MATCH","DIFF"))</f>
      </c>
      <c r="N285" s="5">
        <f>IF('Actual Game'!F285="","",'Actual Game'!F285)</f>
      </c>
      <c r="O285" s="5">
        <f>IF('App Log'!F285="","",'App Log'!F285)</f>
      </c>
      <c r="P285" s="5">
        <f>IF(AND('Actual Game'!F285="",'App Log'!F285=""),"",IF(TRIM('Actual Game'!F285&amp;"")=TRIM('App Log'!F285&amp;""),"MATCH","DIFF"))</f>
      </c>
      <c r="Q285" s="5">
        <f>IF('Actual Game'!I285="","",'Actual Game'!I285)</f>
      </c>
      <c r="R285" s="5">
        <f>IF('App Log'!I285="","",'App Log'!I285)</f>
      </c>
      <c r="S285" s="5">
        <f>IF(AND('Actual Game'!I285="",'App Log'!I285=""),"",IF(TRIM('Actual Game'!I285&amp;"")=TRIM('App Log'!I285&amp;""),"MATCH","DIFF"))</f>
      </c>
      <c r="T285" s="5">
        <f>IF('Actual Game'!H285="","",'Actual Game'!H285)</f>
      </c>
      <c r="U285" s="5">
        <f>IF('App Log'!H285="","",'App Log'!H285)</f>
      </c>
      <c r="V285" s="5">
        <f>IF(AND('Actual Game'!H285="",'App Log'!H285=""),"",IF(TRIM('Actual Game'!H285&amp;"")=TRIM('App Log'!H285&amp;""),"MATCH","DIFF"))</f>
      </c>
      <c r="W285" s="5">
        <f>IF('Actual Game'!J285="","",'Actual Game'!J285)</f>
      </c>
      <c r="X285" s="5">
        <f>IF('App Log'!J285="","",'App Log'!J285)</f>
      </c>
      <c r="Y285" s="5">
        <f>IF(AND('Actual Game'!J285="",'App Log'!J285=""),"",IF(TRIM('Actual Game'!J285&amp;"")=TRIM('App Log'!J285&amp;""),"MATCH","DIFF"))</f>
      </c>
      <c r="Z285" s="5">
        <f>IF('Actual Game'!K285="","",'Actual Game'!K285)</f>
      </c>
      <c r="AA285" s="5">
        <f>IF('App Log'!K285="","",'App Log'!K285)</f>
      </c>
      <c r="AB285" s="5">
        <f>IF(AND('Actual Game'!K285="",'App Log'!K285=""),"",IF(TRIM('Actual Game'!K285&amp;"")=TRIM('App Log'!K285&amp;""),"MATCH","DIFF"))</f>
      </c>
      <c r="AC285" s="5">
        <f>IF(AND('Actual Game'!A285="",'App Log'!A285=""),"",IF(COUNTIF(D285:AB285,"DIFF")=0,"MATCH","CHECK"))</f>
      </c>
    </row>
    <row r="286" ht="19" customHeight="1">
      <c r="A286" s="5"/>
      <c r="B286" s="5">
        <f>IF('Actual Game'!B286="","",'Actual Game'!B286)</f>
      </c>
      <c r="C286" s="5">
        <f>IF('App Log'!B286="","",'App Log'!B286)</f>
      </c>
      <c r="D286" s="5">
        <f>IF(AND('Actual Game'!B286="",'App Log'!B286=""),"",IF(TRIM('Actual Game'!B286&amp;"")=TRIM('App Log'!B286&amp;""),"MATCH","DIFF"))</f>
      </c>
      <c r="E286" s="5">
        <f>IF('Actual Game'!C286="","",'Actual Game'!C286)</f>
      </c>
      <c r="F286" s="5">
        <f>IF('App Log'!C286="","",'App Log'!C286)</f>
      </c>
      <c r="G286" s="5">
        <f>IF(AND('Actual Game'!C286="",'App Log'!C286=""),"",IF(TRIM('Actual Game'!C286&amp;"")=TRIM('App Log'!C286&amp;""),"MATCH","DIFF"))</f>
      </c>
      <c r="H286" s="5">
        <f>IF('Actual Game'!D286="","",'Actual Game'!D286)</f>
      </c>
      <c r="I286" s="5">
        <f>IF('App Log'!D286="","",'App Log'!D286)</f>
      </c>
      <c r="J286" s="5">
        <f>IF(AND('Actual Game'!D286="",'App Log'!D286=""),"",IF(TRIM('Actual Game'!D286&amp;"")=TRIM('App Log'!D286&amp;""),"MATCH","DIFF"))</f>
      </c>
      <c r="K286" s="5">
        <f>IF('Actual Game'!E286="","",'Actual Game'!E286)</f>
      </c>
      <c r="L286" s="5">
        <f>IF('App Log'!E286="","",'App Log'!E286)</f>
      </c>
      <c r="M286" s="5">
        <f>IF(AND('Actual Game'!E286="",'App Log'!E286=""),"",IF(TRIM('Actual Game'!E286&amp;"")=TRIM('App Log'!E286&amp;""),"MATCH","DIFF"))</f>
      </c>
      <c r="N286" s="5">
        <f>IF('Actual Game'!F286="","",'Actual Game'!F286)</f>
      </c>
      <c r="O286" s="5">
        <f>IF('App Log'!F286="","",'App Log'!F286)</f>
      </c>
      <c r="P286" s="5">
        <f>IF(AND('Actual Game'!F286="",'App Log'!F286=""),"",IF(TRIM('Actual Game'!F286&amp;"")=TRIM('App Log'!F286&amp;""),"MATCH","DIFF"))</f>
      </c>
      <c r="Q286" s="5">
        <f>IF('Actual Game'!I286="","",'Actual Game'!I286)</f>
      </c>
      <c r="R286" s="5">
        <f>IF('App Log'!I286="","",'App Log'!I286)</f>
      </c>
      <c r="S286" s="5">
        <f>IF(AND('Actual Game'!I286="",'App Log'!I286=""),"",IF(TRIM('Actual Game'!I286&amp;"")=TRIM('App Log'!I286&amp;""),"MATCH","DIFF"))</f>
      </c>
      <c r="T286" s="5">
        <f>IF('Actual Game'!H286="","",'Actual Game'!H286)</f>
      </c>
      <c r="U286" s="5">
        <f>IF('App Log'!H286="","",'App Log'!H286)</f>
      </c>
      <c r="V286" s="5">
        <f>IF(AND('Actual Game'!H286="",'App Log'!H286=""),"",IF(TRIM('Actual Game'!H286&amp;"")=TRIM('App Log'!H286&amp;""),"MATCH","DIFF"))</f>
      </c>
      <c r="W286" s="5">
        <f>IF('Actual Game'!J286="","",'Actual Game'!J286)</f>
      </c>
      <c r="X286" s="5">
        <f>IF('App Log'!J286="","",'App Log'!J286)</f>
      </c>
      <c r="Y286" s="5">
        <f>IF(AND('Actual Game'!J286="",'App Log'!J286=""),"",IF(TRIM('Actual Game'!J286&amp;"")=TRIM('App Log'!J286&amp;""),"MATCH","DIFF"))</f>
      </c>
      <c r="Z286" s="5">
        <f>IF('Actual Game'!K286="","",'Actual Game'!K286)</f>
      </c>
      <c r="AA286" s="5">
        <f>IF('App Log'!K286="","",'App Log'!K286)</f>
      </c>
      <c r="AB286" s="5">
        <f>IF(AND('Actual Game'!K286="",'App Log'!K286=""),"",IF(TRIM('Actual Game'!K286&amp;"")=TRIM('App Log'!K286&amp;""),"MATCH","DIFF"))</f>
      </c>
      <c r="AC286" s="5">
        <f>IF(AND('Actual Game'!A286="",'App Log'!A286=""),"",IF(COUNTIF(D286:AB286,"DIFF")=0,"MATCH","CHECK"))</f>
      </c>
    </row>
    <row r="287" ht="19" customHeight="1">
      <c r="A287" s="5"/>
      <c r="B287" s="5">
        <f>IF('Actual Game'!B287="","",'Actual Game'!B287)</f>
      </c>
      <c r="C287" s="5">
        <f>IF('App Log'!B287="","",'App Log'!B287)</f>
      </c>
      <c r="D287" s="5">
        <f>IF(AND('Actual Game'!B287="",'App Log'!B287=""),"",IF(TRIM('Actual Game'!B287&amp;"")=TRIM('App Log'!B287&amp;""),"MATCH","DIFF"))</f>
      </c>
      <c r="E287" s="5">
        <f>IF('Actual Game'!C287="","",'Actual Game'!C287)</f>
      </c>
      <c r="F287" s="5">
        <f>IF('App Log'!C287="","",'App Log'!C287)</f>
      </c>
      <c r="G287" s="5">
        <f>IF(AND('Actual Game'!C287="",'App Log'!C287=""),"",IF(TRIM('Actual Game'!C287&amp;"")=TRIM('App Log'!C287&amp;""),"MATCH","DIFF"))</f>
      </c>
      <c r="H287" s="5">
        <f>IF('Actual Game'!D287="","",'Actual Game'!D287)</f>
      </c>
      <c r="I287" s="5">
        <f>IF('App Log'!D287="","",'App Log'!D287)</f>
      </c>
      <c r="J287" s="5">
        <f>IF(AND('Actual Game'!D287="",'App Log'!D287=""),"",IF(TRIM('Actual Game'!D287&amp;"")=TRIM('App Log'!D287&amp;""),"MATCH","DIFF"))</f>
      </c>
      <c r="K287" s="5">
        <f>IF('Actual Game'!E287="","",'Actual Game'!E287)</f>
      </c>
      <c r="L287" s="5">
        <f>IF('App Log'!E287="","",'App Log'!E287)</f>
      </c>
      <c r="M287" s="5">
        <f>IF(AND('Actual Game'!E287="",'App Log'!E287=""),"",IF(TRIM('Actual Game'!E287&amp;"")=TRIM('App Log'!E287&amp;""),"MATCH","DIFF"))</f>
      </c>
      <c r="N287" s="5">
        <f>IF('Actual Game'!F287="","",'Actual Game'!F287)</f>
      </c>
      <c r="O287" s="5">
        <f>IF('App Log'!F287="","",'App Log'!F287)</f>
      </c>
      <c r="P287" s="5">
        <f>IF(AND('Actual Game'!F287="",'App Log'!F287=""),"",IF(TRIM('Actual Game'!F287&amp;"")=TRIM('App Log'!F287&amp;""),"MATCH","DIFF"))</f>
      </c>
      <c r="Q287" s="5">
        <f>IF('Actual Game'!I287="","",'Actual Game'!I287)</f>
      </c>
      <c r="R287" s="5">
        <f>IF('App Log'!I287="","",'App Log'!I287)</f>
      </c>
      <c r="S287" s="5">
        <f>IF(AND('Actual Game'!I287="",'App Log'!I287=""),"",IF(TRIM('Actual Game'!I287&amp;"")=TRIM('App Log'!I287&amp;""),"MATCH","DIFF"))</f>
      </c>
      <c r="T287" s="5">
        <f>IF('Actual Game'!H287="","",'Actual Game'!H287)</f>
      </c>
      <c r="U287" s="5">
        <f>IF('App Log'!H287="","",'App Log'!H287)</f>
      </c>
      <c r="V287" s="5">
        <f>IF(AND('Actual Game'!H287="",'App Log'!H287=""),"",IF(TRIM('Actual Game'!H287&amp;"")=TRIM('App Log'!H287&amp;""),"MATCH","DIFF"))</f>
      </c>
      <c r="W287" s="5">
        <f>IF('Actual Game'!J287="","",'Actual Game'!J287)</f>
      </c>
      <c r="X287" s="5">
        <f>IF('App Log'!J287="","",'App Log'!J287)</f>
      </c>
      <c r="Y287" s="5">
        <f>IF(AND('Actual Game'!J287="",'App Log'!J287=""),"",IF(TRIM('Actual Game'!J287&amp;"")=TRIM('App Log'!J287&amp;""),"MATCH","DIFF"))</f>
      </c>
      <c r="Z287" s="5">
        <f>IF('Actual Game'!K287="","",'Actual Game'!K287)</f>
      </c>
      <c r="AA287" s="5">
        <f>IF('App Log'!K287="","",'App Log'!K287)</f>
      </c>
      <c r="AB287" s="5">
        <f>IF(AND('Actual Game'!K287="",'App Log'!K287=""),"",IF(TRIM('Actual Game'!K287&amp;"")=TRIM('App Log'!K287&amp;""),"MATCH","DIFF"))</f>
      </c>
      <c r="AC287" s="5">
        <f>IF(AND('Actual Game'!A287="",'App Log'!A287=""),"",IF(COUNTIF(D287:AB287,"DIFF")=0,"MATCH","CHECK"))</f>
      </c>
    </row>
    <row r="288" ht="19" customHeight="1">
      <c r="A288" s="5"/>
      <c r="B288" s="5">
        <f>IF('Actual Game'!B288="","",'Actual Game'!B288)</f>
      </c>
      <c r="C288" s="5">
        <f>IF('App Log'!B288="","",'App Log'!B288)</f>
      </c>
      <c r="D288" s="5">
        <f>IF(AND('Actual Game'!B288="",'App Log'!B288=""),"",IF(TRIM('Actual Game'!B288&amp;"")=TRIM('App Log'!B288&amp;""),"MATCH","DIFF"))</f>
      </c>
      <c r="E288" s="5">
        <f>IF('Actual Game'!C288="","",'Actual Game'!C288)</f>
      </c>
      <c r="F288" s="5">
        <f>IF('App Log'!C288="","",'App Log'!C288)</f>
      </c>
      <c r="G288" s="5">
        <f>IF(AND('Actual Game'!C288="",'App Log'!C288=""),"",IF(TRIM('Actual Game'!C288&amp;"")=TRIM('App Log'!C288&amp;""),"MATCH","DIFF"))</f>
      </c>
      <c r="H288" s="5">
        <f>IF('Actual Game'!D288="","",'Actual Game'!D288)</f>
      </c>
      <c r="I288" s="5">
        <f>IF('App Log'!D288="","",'App Log'!D288)</f>
      </c>
      <c r="J288" s="5">
        <f>IF(AND('Actual Game'!D288="",'App Log'!D288=""),"",IF(TRIM('Actual Game'!D288&amp;"")=TRIM('App Log'!D288&amp;""),"MATCH","DIFF"))</f>
      </c>
      <c r="K288" s="5">
        <f>IF('Actual Game'!E288="","",'Actual Game'!E288)</f>
      </c>
      <c r="L288" s="5">
        <f>IF('App Log'!E288="","",'App Log'!E288)</f>
      </c>
      <c r="M288" s="5">
        <f>IF(AND('Actual Game'!E288="",'App Log'!E288=""),"",IF(TRIM('Actual Game'!E288&amp;"")=TRIM('App Log'!E288&amp;""),"MATCH","DIFF"))</f>
      </c>
      <c r="N288" s="5">
        <f>IF('Actual Game'!F288="","",'Actual Game'!F288)</f>
      </c>
      <c r="O288" s="5">
        <f>IF('App Log'!F288="","",'App Log'!F288)</f>
      </c>
      <c r="P288" s="5">
        <f>IF(AND('Actual Game'!F288="",'App Log'!F288=""),"",IF(TRIM('Actual Game'!F288&amp;"")=TRIM('App Log'!F288&amp;""),"MATCH","DIFF"))</f>
      </c>
      <c r="Q288" s="5">
        <f>IF('Actual Game'!I288="","",'Actual Game'!I288)</f>
      </c>
      <c r="R288" s="5">
        <f>IF('App Log'!I288="","",'App Log'!I288)</f>
      </c>
      <c r="S288" s="5">
        <f>IF(AND('Actual Game'!I288="",'App Log'!I288=""),"",IF(TRIM('Actual Game'!I288&amp;"")=TRIM('App Log'!I288&amp;""),"MATCH","DIFF"))</f>
      </c>
      <c r="T288" s="5">
        <f>IF('Actual Game'!H288="","",'Actual Game'!H288)</f>
      </c>
      <c r="U288" s="5">
        <f>IF('App Log'!H288="","",'App Log'!H288)</f>
      </c>
      <c r="V288" s="5">
        <f>IF(AND('Actual Game'!H288="",'App Log'!H288=""),"",IF(TRIM('Actual Game'!H288&amp;"")=TRIM('App Log'!H288&amp;""),"MATCH","DIFF"))</f>
      </c>
      <c r="W288" s="5">
        <f>IF('Actual Game'!J288="","",'Actual Game'!J288)</f>
      </c>
      <c r="X288" s="5">
        <f>IF('App Log'!J288="","",'App Log'!J288)</f>
      </c>
      <c r="Y288" s="5">
        <f>IF(AND('Actual Game'!J288="",'App Log'!J288=""),"",IF(TRIM('Actual Game'!J288&amp;"")=TRIM('App Log'!J288&amp;""),"MATCH","DIFF"))</f>
      </c>
      <c r="Z288" s="5">
        <f>IF('Actual Game'!K288="","",'Actual Game'!K288)</f>
      </c>
      <c r="AA288" s="5">
        <f>IF('App Log'!K288="","",'App Log'!K288)</f>
      </c>
      <c r="AB288" s="5">
        <f>IF(AND('Actual Game'!K288="",'App Log'!K288=""),"",IF(TRIM('Actual Game'!K288&amp;"")=TRIM('App Log'!K288&amp;""),"MATCH","DIFF"))</f>
      </c>
      <c r="AC288" s="5">
        <f>IF(AND('Actual Game'!A288="",'App Log'!A288=""),"",IF(COUNTIF(D288:AB288,"DIFF")=0,"MATCH","CHECK"))</f>
      </c>
    </row>
    <row r="289" ht="19" customHeight="1">
      <c r="A289" s="5"/>
      <c r="B289" s="5">
        <f>IF('Actual Game'!B289="","",'Actual Game'!B289)</f>
      </c>
      <c r="C289" s="5">
        <f>IF('App Log'!B289="","",'App Log'!B289)</f>
      </c>
      <c r="D289" s="5">
        <f>IF(AND('Actual Game'!B289="",'App Log'!B289=""),"",IF(TRIM('Actual Game'!B289&amp;"")=TRIM('App Log'!B289&amp;""),"MATCH","DIFF"))</f>
      </c>
      <c r="E289" s="5">
        <f>IF('Actual Game'!C289="","",'Actual Game'!C289)</f>
      </c>
      <c r="F289" s="5">
        <f>IF('App Log'!C289="","",'App Log'!C289)</f>
      </c>
      <c r="G289" s="5">
        <f>IF(AND('Actual Game'!C289="",'App Log'!C289=""),"",IF(TRIM('Actual Game'!C289&amp;"")=TRIM('App Log'!C289&amp;""),"MATCH","DIFF"))</f>
      </c>
      <c r="H289" s="5">
        <f>IF('Actual Game'!D289="","",'Actual Game'!D289)</f>
      </c>
      <c r="I289" s="5">
        <f>IF('App Log'!D289="","",'App Log'!D289)</f>
      </c>
      <c r="J289" s="5">
        <f>IF(AND('Actual Game'!D289="",'App Log'!D289=""),"",IF(TRIM('Actual Game'!D289&amp;"")=TRIM('App Log'!D289&amp;""),"MATCH","DIFF"))</f>
      </c>
      <c r="K289" s="5">
        <f>IF('Actual Game'!E289="","",'Actual Game'!E289)</f>
      </c>
      <c r="L289" s="5">
        <f>IF('App Log'!E289="","",'App Log'!E289)</f>
      </c>
      <c r="M289" s="5">
        <f>IF(AND('Actual Game'!E289="",'App Log'!E289=""),"",IF(TRIM('Actual Game'!E289&amp;"")=TRIM('App Log'!E289&amp;""),"MATCH","DIFF"))</f>
      </c>
      <c r="N289" s="5">
        <f>IF('Actual Game'!F289="","",'Actual Game'!F289)</f>
      </c>
      <c r="O289" s="5">
        <f>IF('App Log'!F289="","",'App Log'!F289)</f>
      </c>
      <c r="P289" s="5">
        <f>IF(AND('Actual Game'!F289="",'App Log'!F289=""),"",IF(TRIM('Actual Game'!F289&amp;"")=TRIM('App Log'!F289&amp;""),"MATCH","DIFF"))</f>
      </c>
      <c r="Q289" s="5">
        <f>IF('Actual Game'!I289="","",'Actual Game'!I289)</f>
      </c>
      <c r="R289" s="5">
        <f>IF('App Log'!I289="","",'App Log'!I289)</f>
      </c>
      <c r="S289" s="5">
        <f>IF(AND('Actual Game'!I289="",'App Log'!I289=""),"",IF(TRIM('Actual Game'!I289&amp;"")=TRIM('App Log'!I289&amp;""),"MATCH","DIFF"))</f>
      </c>
      <c r="T289" s="5">
        <f>IF('Actual Game'!H289="","",'Actual Game'!H289)</f>
      </c>
      <c r="U289" s="5">
        <f>IF('App Log'!H289="","",'App Log'!H289)</f>
      </c>
      <c r="V289" s="5">
        <f>IF(AND('Actual Game'!H289="",'App Log'!H289=""),"",IF(TRIM('Actual Game'!H289&amp;"")=TRIM('App Log'!H289&amp;""),"MATCH","DIFF"))</f>
      </c>
      <c r="W289" s="5">
        <f>IF('Actual Game'!J289="","",'Actual Game'!J289)</f>
      </c>
      <c r="X289" s="5">
        <f>IF('App Log'!J289="","",'App Log'!J289)</f>
      </c>
      <c r="Y289" s="5">
        <f>IF(AND('Actual Game'!J289="",'App Log'!J289=""),"",IF(TRIM('Actual Game'!J289&amp;"")=TRIM('App Log'!J289&amp;""),"MATCH","DIFF"))</f>
      </c>
      <c r="Z289" s="5">
        <f>IF('Actual Game'!K289="","",'Actual Game'!K289)</f>
      </c>
      <c r="AA289" s="5">
        <f>IF('App Log'!K289="","",'App Log'!K289)</f>
      </c>
      <c r="AB289" s="5">
        <f>IF(AND('Actual Game'!K289="",'App Log'!K289=""),"",IF(TRIM('Actual Game'!K289&amp;"")=TRIM('App Log'!K289&amp;""),"MATCH","DIFF"))</f>
      </c>
      <c r="AC289" s="5">
        <f>IF(AND('Actual Game'!A289="",'App Log'!A289=""),"",IF(COUNTIF(D289:AB289,"DIFF")=0,"MATCH","CHECK"))</f>
      </c>
    </row>
    <row r="290" ht="19" customHeight="1">
      <c r="A290" s="5"/>
      <c r="B290" s="5">
        <f>IF('Actual Game'!B290="","",'Actual Game'!B290)</f>
      </c>
      <c r="C290" s="5">
        <f>IF('App Log'!B290="","",'App Log'!B290)</f>
      </c>
      <c r="D290" s="5">
        <f>IF(AND('Actual Game'!B290="",'App Log'!B290=""),"",IF(TRIM('Actual Game'!B290&amp;"")=TRIM('App Log'!B290&amp;""),"MATCH","DIFF"))</f>
      </c>
      <c r="E290" s="5">
        <f>IF('Actual Game'!C290="","",'Actual Game'!C290)</f>
      </c>
      <c r="F290" s="5">
        <f>IF('App Log'!C290="","",'App Log'!C290)</f>
      </c>
      <c r="G290" s="5">
        <f>IF(AND('Actual Game'!C290="",'App Log'!C290=""),"",IF(TRIM('Actual Game'!C290&amp;"")=TRIM('App Log'!C290&amp;""),"MATCH","DIFF"))</f>
      </c>
      <c r="H290" s="5">
        <f>IF('Actual Game'!D290="","",'Actual Game'!D290)</f>
      </c>
      <c r="I290" s="5">
        <f>IF('App Log'!D290="","",'App Log'!D290)</f>
      </c>
      <c r="J290" s="5">
        <f>IF(AND('Actual Game'!D290="",'App Log'!D290=""),"",IF(TRIM('Actual Game'!D290&amp;"")=TRIM('App Log'!D290&amp;""),"MATCH","DIFF"))</f>
      </c>
      <c r="K290" s="5">
        <f>IF('Actual Game'!E290="","",'Actual Game'!E290)</f>
      </c>
      <c r="L290" s="5">
        <f>IF('App Log'!E290="","",'App Log'!E290)</f>
      </c>
      <c r="M290" s="5">
        <f>IF(AND('Actual Game'!E290="",'App Log'!E290=""),"",IF(TRIM('Actual Game'!E290&amp;"")=TRIM('App Log'!E290&amp;""),"MATCH","DIFF"))</f>
      </c>
      <c r="N290" s="5">
        <f>IF('Actual Game'!F290="","",'Actual Game'!F290)</f>
      </c>
      <c r="O290" s="5">
        <f>IF('App Log'!F290="","",'App Log'!F290)</f>
      </c>
      <c r="P290" s="5">
        <f>IF(AND('Actual Game'!F290="",'App Log'!F290=""),"",IF(TRIM('Actual Game'!F290&amp;"")=TRIM('App Log'!F290&amp;""),"MATCH","DIFF"))</f>
      </c>
      <c r="Q290" s="5">
        <f>IF('Actual Game'!I290="","",'Actual Game'!I290)</f>
      </c>
      <c r="R290" s="5">
        <f>IF('App Log'!I290="","",'App Log'!I290)</f>
      </c>
      <c r="S290" s="5">
        <f>IF(AND('Actual Game'!I290="",'App Log'!I290=""),"",IF(TRIM('Actual Game'!I290&amp;"")=TRIM('App Log'!I290&amp;""),"MATCH","DIFF"))</f>
      </c>
      <c r="T290" s="5">
        <f>IF('Actual Game'!H290="","",'Actual Game'!H290)</f>
      </c>
      <c r="U290" s="5">
        <f>IF('App Log'!H290="","",'App Log'!H290)</f>
      </c>
      <c r="V290" s="5">
        <f>IF(AND('Actual Game'!H290="",'App Log'!H290=""),"",IF(TRIM('Actual Game'!H290&amp;"")=TRIM('App Log'!H290&amp;""),"MATCH","DIFF"))</f>
      </c>
      <c r="W290" s="5">
        <f>IF('Actual Game'!J290="","",'Actual Game'!J290)</f>
      </c>
      <c r="X290" s="5">
        <f>IF('App Log'!J290="","",'App Log'!J290)</f>
      </c>
      <c r="Y290" s="5">
        <f>IF(AND('Actual Game'!J290="",'App Log'!J290=""),"",IF(TRIM('Actual Game'!J290&amp;"")=TRIM('App Log'!J290&amp;""),"MATCH","DIFF"))</f>
      </c>
      <c r="Z290" s="5">
        <f>IF('Actual Game'!K290="","",'Actual Game'!K290)</f>
      </c>
      <c r="AA290" s="5">
        <f>IF('App Log'!K290="","",'App Log'!K290)</f>
      </c>
      <c r="AB290" s="5">
        <f>IF(AND('Actual Game'!K290="",'App Log'!K290=""),"",IF(TRIM('Actual Game'!K290&amp;"")=TRIM('App Log'!K290&amp;""),"MATCH","DIFF"))</f>
      </c>
      <c r="AC290" s="5">
        <f>IF(AND('Actual Game'!A290="",'App Log'!A290=""),"",IF(COUNTIF(D290:AB290,"DIFF")=0,"MATCH","CHECK"))</f>
      </c>
    </row>
    <row r="291" ht="19" customHeight="1">
      <c r="A291" s="5"/>
      <c r="B291" s="5">
        <f>IF('Actual Game'!B291="","",'Actual Game'!B291)</f>
      </c>
      <c r="C291" s="5">
        <f>IF('App Log'!B291="","",'App Log'!B291)</f>
      </c>
      <c r="D291" s="5">
        <f>IF(AND('Actual Game'!B291="",'App Log'!B291=""),"",IF(TRIM('Actual Game'!B291&amp;"")=TRIM('App Log'!B291&amp;""),"MATCH","DIFF"))</f>
      </c>
      <c r="E291" s="5">
        <f>IF('Actual Game'!C291="","",'Actual Game'!C291)</f>
      </c>
      <c r="F291" s="5">
        <f>IF('App Log'!C291="","",'App Log'!C291)</f>
      </c>
      <c r="G291" s="5">
        <f>IF(AND('Actual Game'!C291="",'App Log'!C291=""),"",IF(TRIM('Actual Game'!C291&amp;"")=TRIM('App Log'!C291&amp;""),"MATCH","DIFF"))</f>
      </c>
      <c r="H291" s="5">
        <f>IF('Actual Game'!D291="","",'Actual Game'!D291)</f>
      </c>
      <c r="I291" s="5">
        <f>IF('App Log'!D291="","",'App Log'!D291)</f>
      </c>
      <c r="J291" s="5">
        <f>IF(AND('Actual Game'!D291="",'App Log'!D291=""),"",IF(TRIM('Actual Game'!D291&amp;"")=TRIM('App Log'!D291&amp;""),"MATCH","DIFF"))</f>
      </c>
      <c r="K291" s="5">
        <f>IF('Actual Game'!E291="","",'Actual Game'!E291)</f>
      </c>
      <c r="L291" s="5">
        <f>IF('App Log'!E291="","",'App Log'!E291)</f>
      </c>
      <c r="M291" s="5">
        <f>IF(AND('Actual Game'!E291="",'App Log'!E291=""),"",IF(TRIM('Actual Game'!E291&amp;"")=TRIM('App Log'!E291&amp;""),"MATCH","DIFF"))</f>
      </c>
      <c r="N291" s="5">
        <f>IF('Actual Game'!F291="","",'Actual Game'!F291)</f>
      </c>
      <c r="O291" s="5">
        <f>IF('App Log'!F291="","",'App Log'!F291)</f>
      </c>
      <c r="P291" s="5">
        <f>IF(AND('Actual Game'!F291="",'App Log'!F291=""),"",IF(TRIM('Actual Game'!F291&amp;"")=TRIM('App Log'!F291&amp;""),"MATCH","DIFF"))</f>
      </c>
      <c r="Q291" s="5">
        <f>IF('Actual Game'!I291="","",'Actual Game'!I291)</f>
      </c>
      <c r="R291" s="5">
        <f>IF('App Log'!I291="","",'App Log'!I291)</f>
      </c>
      <c r="S291" s="5">
        <f>IF(AND('Actual Game'!I291="",'App Log'!I291=""),"",IF(TRIM('Actual Game'!I291&amp;"")=TRIM('App Log'!I291&amp;""),"MATCH","DIFF"))</f>
      </c>
      <c r="T291" s="5">
        <f>IF('Actual Game'!H291="","",'Actual Game'!H291)</f>
      </c>
      <c r="U291" s="5">
        <f>IF('App Log'!H291="","",'App Log'!H291)</f>
      </c>
      <c r="V291" s="5">
        <f>IF(AND('Actual Game'!H291="",'App Log'!H291=""),"",IF(TRIM('Actual Game'!H291&amp;"")=TRIM('App Log'!H291&amp;""),"MATCH","DIFF"))</f>
      </c>
      <c r="W291" s="5">
        <f>IF('Actual Game'!J291="","",'Actual Game'!J291)</f>
      </c>
      <c r="X291" s="5">
        <f>IF('App Log'!J291="","",'App Log'!J291)</f>
      </c>
      <c r="Y291" s="5">
        <f>IF(AND('Actual Game'!J291="",'App Log'!J291=""),"",IF(TRIM('Actual Game'!J291&amp;"")=TRIM('App Log'!J291&amp;""),"MATCH","DIFF"))</f>
      </c>
      <c r="Z291" s="5">
        <f>IF('Actual Game'!K291="","",'Actual Game'!K291)</f>
      </c>
      <c r="AA291" s="5">
        <f>IF('App Log'!K291="","",'App Log'!K291)</f>
      </c>
      <c r="AB291" s="5">
        <f>IF(AND('Actual Game'!K291="",'App Log'!K291=""),"",IF(TRIM('Actual Game'!K291&amp;"")=TRIM('App Log'!K291&amp;""),"MATCH","DIFF"))</f>
      </c>
      <c r="AC291" s="5">
        <f>IF(AND('Actual Game'!A291="",'App Log'!A291=""),"",IF(COUNTIF(D291:AB291,"DIFF")=0,"MATCH","CHECK"))</f>
      </c>
    </row>
    <row r="292" ht="19" customHeight="1">
      <c r="A292" s="5"/>
      <c r="B292" s="5">
        <f>IF('Actual Game'!B292="","",'Actual Game'!B292)</f>
      </c>
      <c r="C292" s="5">
        <f>IF('App Log'!B292="","",'App Log'!B292)</f>
      </c>
      <c r="D292" s="5">
        <f>IF(AND('Actual Game'!B292="",'App Log'!B292=""),"",IF(TRIM('Actual Game'!B292&amp;"")=TRIM('App Log'!B292&amp;""),"MATCH","DIFF"))</f>
      </c>
      <c r="E292" s="5">
        <f>IF('Actual Game'!C292="","",'Actual Game'!C292)</f>
      </c>
      <c r="F292" s="5">
        <f>IF('App Log'!C292="","",'App Log'!C292)</f>
      </c>
      <c r="G292" s="5">
        <f>IF(AND('Actual Game'!C292="",'App Log'!C292=""),"",IF(TRIM('Actual Game'!C292&amp;"")=TRIM('App Log'!C292&amp;""),"MATCH","DIFF"))</f>
      </c>
      <c r="H292" s="5">
        <f>IF('Actual Game'!D292="","",'Actual Game'!D292)</f>
      </c>
      <c r="I292" s="5">
        <f>IF('App Log'!D292="","",'App Log'!D292)</f>
      </c>
      <c r="J292" s="5">
        <f>IF(AND('Actual Game'!D292="",'App Log'!D292=""),"",IF(TRIM('Actual Game'!D292&amp;"")=TRIM('App Log'!D292&amp;""),"MATCH","DIFF"))</f>
      </c>
      <c r="K292" s="5">
        <f>IF('Actual Game'!E292="","",'Actual Game'!E292)</f>
      </c>
      <c r="L292" s="5">
        <f>IF('App Log'!E292="","",'App Log'!E292)</f>
      </c>
      <c r="M292" s="5">
        <f>IF(AND('Actual Game'!E292="",'App Log'!E292=""),"",IF(TRIM('Actual Game'!E292&amp;"")=TRIM('App Log'!E292&amp;""),"MATCH","DIFF"))</f>
      </c>
      <c r="N292" s="5">
        <f>IF('Actual Game'!F292="","",'Actual Game'!F292)</f>
      </c>
      <c r="O292" s="5">
        <f>IF('App Log'!F292="","",'App Log'!F292)</f>
      </c>
      <c r="P292" s="5">
        <f>IF(AND('Actual Game'!F292="",'App Log'!F292=""),"",IF(TRIM('Actual Game'!F292&amp;"")=TRIM('App Log'!F292&amp;""),"MATCH","DIFF"))</f>
      </c>
      <c r="Q292" s="5">
        <f>IF('Actual Game'!I292="","",'Actual Game'!I292)</f>
      </c>
      <c r="R292" s="5">
        <f>IF('App Log'!I292="","",'App Log'!I292)</f>
      </c>
      <c r="S292" s="5">
        <f>IF(AND('Actual Game'!I292="",'App Log'!I292=""),"",IF(TRIM('Actual Game'!I292&amp;"")=TRIM('App Log'!I292&amp;""),"MATCH","DIFF"))</f>
      </c>
      <c r="T292" s="5">
        <f>IF('Actual Game'!H292="","",'Actual Game'!H292)</f>
      </c>
      <c r="U292" s="5">
        <f>IF('App Log'!H292="","",'App Log'!H292)</f>
      </c>
      <c r="V292" s="5">
        <f>IF(AND('Actual Game'!H292="",'App Log'!H292=""),"",IF(TRIM('Actual Game'!H292&amp;"")=TRIM('App Log'!H292&amp;""),"MATCH","DIFF"))</f>
      </c>
      <c r="W292" s="5">
        <f>IF('Actual Game'!J292="","",'Actual Game'!J292)</f>
      </c>
      <c r="X292" s="5">
        <f>IF('App Log'!J292="","",'App Log'!J292)</f>
      </c>
      <c r="Y292" s="5">
        <f>IF(AND('Actual Game'!J292="",'App Log'!J292=""),"",IF(TRIM('Actual Game'!J292&amp;"")=TRIM('App Log'!J292&amp;""),"MATCH","DIFF"))</f>
      </c>
      <c r="Z292" s="5">
        <f>IF('Actual Game'!K292="","",'Actual Game'!K292)</f>
      </c>
      <c r="AA292" s="5">
        <f>IF('App Log'!K292="","",'App Log'!K292)</f>
      </c>
      <c r="AB292" s="5">
        <f>IF(AND('Actual Game'!K292="",'App Log'!K292=""),"",IF(TRIM('Actual Game'!K292&amp;"")=TRIM('App Log'!K292&amp;""),"MATCH","DIFF"))</f>
      </c>
      <c r="AC292" s="5">
        <f>IF(AND('Actual Game'!A292="",'App Log'!A292=""),"",IF(COUNTIF(D292:AB292,"DIFF")=0,"MATCH","CHECK"))</f>
      </c>
    </row>
    <row r="293" ht="19" customHeight="1">
      <c r="A293" s="5"/>
      <c r="B293" s="5">
        <f>IF('Actual Game'!B293="","",'Actual Game'!B293)</f>
      </c>
      <c r="C293" s="5">
        <f>IF('App Log'!B293="","",'App Log'!B293)</f>
      </c>
      <c r="D293" s="5">
        <f>IF(AND('Actual Game'!B293="",'App Log'!B293=""),"",IF(TRIM('Actual Game'!B293&amp;"")=TRIM('App Log'!B293&amp;""),"MATCH","DIFF"))</f>
      </c>
      <c r="E293" s="5">
        <f>IF('Actual Game'!C293="","",'Actual Game'!C293)</f>
      </c>
      <c r="F293" s="5">
        <f>IF('App Log'!C293="","",'App Log'!C293)</f>
      </c>
      <c r="G293" s="5">
        <f>IF(AND('Actual Game'!C293="",'App Log'!C293=""),"",IF(TRIM('Actual Game'!C293&amp;"")=TRIM('App Log'!C293&amp;""),"MATCH","DIFF"))</f>
      </c>
      <c r="H293" s="5">
        <f>IF('Actual Game'!D293="","",'Actual Game'!D293)</f>
      </c>
      <c r="I293" s="5">
        <f>IF('App Log'!D293="","",'App Log'!D293)</f>
      </c>
      <c r="J293" s="5">
        <f>IF(AND('Actual Game'!D293="",'App Log'!D293=""),"",IF(TRIM('Actual Game'!D293&amp;"")=TRIM('App Log'!D293&amp;""),"MATCH","DIFF"))</f>
      </c>
      <c r="K293" s="5">
        <f>IF('Actual Game'!E293="","",'Actual Game'!E293)</f>
      </c>
      <c r="L293" s="5">
        <f>IF('App Log'!E293="","",'App Log'!E293)</f>
      </c>
      <c r="M293" s="5">
        <f>IF(AND('Actual Game'!E293="",'App Log'!E293=""),"",IF(TRIM('Actual Game'!E293&amp;"")=TRIM('App Log'!E293&amp;""),"MATCH","DIFF"))</f>
      </c>
      <c r="N293" s="5">
        <f>IF('Actual Game'!F293="","",'Actual Game'!F293)</f>
      </c>
      <c r="O293" s="5">
        <f>IF('App Log'!F293="","",'App Log'!F293)</f>
      </c>
      <c r="P293" s="5">
        <f>IF(AND('Actual Game'!F293="",'App Log'!F293=""),"",IF(TRIM('Actual Game'!F293&amp;"")=TRIM('App Log'!F293&amp;""),"MATCH","DIFF"))</f>
      </c>
      <c r="Q293" s="5">
        <f>IF('Actual Game'!I293="","",'Actual Game'!I293)</f>
      </c>
      <c r="R293" s="5">
        <f>IF('App Log'!I293="","",'App Log'!I293)</f>
      </c>
      <c r="S293" s="5">
        <f>IF(AND('Actual Game'!I293="",'App Log'!I293=""),"",IF(TRIM('Actual Game'!I293&amp;"")=TRIM('App Log'!I293&amp;""),"MATCH","DIFF"))</f>
      </c>
      <c r="T293" s="5">
        <f>IF('Actual Game'!H293="","",'Actual Game'!H293)</f>
      </c>
      <c r="U293" s="5">
        <f>IF('App Log'!H293="","",'App Log'!H293)</f>
      </c>
      <c r="V293" s="5">
        <f>IF(AND('Actual Game'!H293="",'App Log'!H293=""),"",IF(TRIM('Actual Game'!H293&amp;"")=TRIM('App Log'!H293&amp;""),"MATCH","DIFF"))</f>
      </c>
      <c r="W293" s="5">
        <f>IF('Actual Game'!J293="","",'Actual Game'!J293)</f>
      </c>
      <c r="X293" s="5">
        <f>IF('App Log'!J293="","",'App Log'!J293)</f>
      </c>
      <c r="Y293" s="5">
        <f>IF(AND('Actual Game'!J293="",'App Log'!J293=""),"",IF(TRIM('Actual Game'!J293&amp;"")=TRIM('App Log'!J293&amp;""),"MATCH","DIFF"))</f>
      </c>
      <c r="Z293" s="5">
        <f>IF('Actual Game'!K293="","",'Actual Game'!K293)</f>
      </c>
      <c r="AA293" s="5">
        <f>IF('App Log'!K293="","",'App Log'!K293)</f>
      </c>
      <c r="AB293" s="5">
        <f>IF(AND('Actual Game'!K293="",'App Log'!K293=""),"",IF(TRIM('Actual Game'!K293&amp;"")=TRIM('App Log'!K293&amp;""),"MATCH","DIFF"))</f>
      </c>
      <c r="AC293" s="5">
        <f>IF(AND('Actual Game'!A293="",'App Log'!A293=""),"",IF(COUNTIF(D293:AB293,"DIFF")=0,"MATCH","CHECK"))</f>
      </c>
    </row>
    <row r="294" ht="19" customHeight="1">
      <c r="A294" s="5"/>
      <c r="B294" s="5">
        <f>IF('Actual Game'!B294="","",'Actual Game'!B294)</f>
      </c>
      <c r="C294" s="5">
        <f>IF('App Log'!B294="","",'App Log'!B294)</f>
      </c>
      <c r="D294" s="5">
        <f>IF(AND('Actual Game'!B294="",'App Log'!B294=""),"",IF(TRIM('Actual Game'!B294&amp;"")=TRIM('App Log'!B294&amp;""),"MATCH","DIFF"))</f>
      </c>
      <c r="E294" s="5">
        <f>IF('Actual Game'!C294="","",'Actual Game'!C294)</f>
      </c>
      <c r="F294" s="5">
        <f>IF('App Log'!C294="","",'App Log'!C294)</f>
      </c>
      <c r="G294" s="5">
        <f>IF(AND('Actual Game'!C294="",'App Log'!C294=""),"",IF(TRIM('Actual Game'!C294&amp;"")=TRIM('App Log'!C294&amp;""),"MATCH","DIFF"))</f>
      </c>
      <c r="H294" s="5">
        <f>IF('Actual Game'!D294="","",'Actual Game'!D294)</f>
      </c>
      <c r="I294" s="5">
        <f>IF('App Log'!D294="","",'App Log'!D294)</f>
      </c>
      <c r="J294" s="5">
        <f>IF(AND('Actual Game'!D294="",'App Log'!D294=""),"",IF(TRIM('Actual Game'!D294&amp;"")=TRIM('App Log'!D294&amp;""),"MATCH","DIFF"))</f>
      </c>
      <c r="K294" s="5">
        <f>IF('Actual Game'!E294="","",'Actual Game'!E294)</f>
      </c>
      <c r="L294" s="5">
        <f>IF('App Log'!E294="","",'App Log'!E294)</f>
      </c>
      <c r="M294" s="5">
        <f>IF(AND('Actual Game'!E294="",'App Log'!E294=""),"",IF(TRIM('Actual Game'!E294&amp;"")=TRIM('App Log'!E294&amp;""),"MATCH","DIFF"))</f>
      </c>
      <c r="N294" s="5">
        <f>IF('Actual Game'!F294="","",'Actual Game'!F294)</f>
      </c>
      <c r="O294" s="5">
        <f>IF('App Log'!F294="","",'App Log'!F294)</f>
      </c>
      <c r="P294" s="5">
        <f>IF(AND('Actual Game'!F294="",'App Log'!F294=""),"",IF(TRIM('Actual Game'!F294&amp;"")=TRIM('App Log'!F294&amp;""),"MATCH","DIFF"))</f>
      </c>
      <c r="Q294" s="5">
        <f>IF('Actual Game'!I294="","",'Actual Game'!I294)</f>
      </c>
      <c r="R294" s="5">
        <f>IF('App Log'!I294="","",'App Log'!I294)</f>
      </c>
      <c r="S294" s="5">
        <f>IF(AND('Actual Game'!I294="",'App Log'!I294=""),"",IF(TRIM('Actual Game'!I294&amp;"")=TRIM('App Log'!I294&amp;""),"MATCH","DIFF"))</f>
      </c>
      <c r="T294" s="5">
        <f>IF('Actual Game'!H294="","",'Actual Game'!H294)</f>
      </c>
      <c r="U294" s="5">
        <f>IF('App Log'!H294="","",'App Log'!H294)</f>
      </c>
      <c r="V294" s="5">
        <f>IF(AND('Actual Game'!H294="",'App Log'!H294=""),"",IF(TRIM('Actual Game'!H294&amp;"")=TRIM('App Log'!H294&amp;""),"MATCH","DIFF"))</f>
      </c>
      <c r="W294" s="5">
        <f>IF('Actual Game'!J294="","",'Actual Game'!J294)</f>
      </c>
      <c r="X294" s="5">
        <f>IF('App Log'!J294="","",'App Log'!J294)</f>
      </c>
      <c r="Y294" s="5">
        <f>IF(AND('Actual Game'!J294="",'App Log'!J294=""),"",IF(TRIM('Actual Game'!J294&amp;"")=TRIM('App Log'!J294&amp;""),"MATCH","DIFF"))</f>
      </c>
      <c r="Z294" s="5">
        <f>IF('Actual Game'!K294="","",'Actual Game'!K294)</f>
      </c>
      <c r="AA294" s="5">
        <f>IF('App Log'!K294="","",'App Log'!K294)</f>
      </c>
      <c r="AB294" s="5">
        <f>IF(AND('Actual Game'!K294="",'App Log'!K294=""),"",IF(TRIM('Actual Game'!K294&amp;"")=TRIM('App Log'!K294&amp;""),"MATCH","DIFF"))</f>
      </c>
      <c r="AC294" s="5">
        <f>IF(AND('Actual Game'!A294="",'App Log'!A294=""),"",IF(COUNTIF(D294:AB294,"DIFF")=0,"MATCH","CHECK"))</f>
      </c>
    </row>
    <row r="295" ht="19" customHeight="1">
      <c r="A295" s="5"/>
      <c r="B295" s="5">
        <f>IF('Actual Game'!B295="","",'Actual Game'!B295)</f>
      </c>
      <c r="C295" s="5">
        <f>IF('App Log'!B295="","",'App Log'!B295)</f>
      </c>
      <c r="D295" s="5">
        <f>IF(AND('Actual Game'!B295="",'App Log'!B295=""),"",IF(TRIM('Actual Game'!B295&amp;"")=TRIM('App Log'!B295&amp;""),"MATCH","DIFF"))</f>
      </c>
      <c r="E295" s="5">
        <f>IF('Actual Game'!C295="","",'Actual Game'!C295)</f>
      </c>
      <c r="F295" s="5">
        <f>IF('App Log'!C295="","",'App Log'!C295)</f>
      </c>
      <c r="G295" s="5">
        <f>IF(AND('Actual Game'!C295="",'App Log'!C295=""),"",IF(TRIM('Actual Game'!C295&amp;"")=TRIM('App Log'!C295&amp;""),"MATCH","DIFF"))</f>
      </c>
      <c r="H295" s="5">
        <f>IF('Actual Game'!D295="","",'Actual Game'!D295)</f>
      </c>
      <c r="I295" s="5">
        <f>IF('App Log'!D295="","",'App Log'!D295)</f>
      </c>
      <c r="J295" s="5">
        <f>IF(AND('Actual Game'!D295="",'App Log'!D295=""),"",IF(TRIM('Actual Game'!D295&amp;"")=TRIM('App Log'!D295&amp;""),"MATCH","DIFF"))</f>
      </c>
      <c r="K295" s="5">
        <f>IF('Actual Game'!E295="","",'Actual Game'!E295)</f>
      </c>
      <c r="L295" s="5">
        <f>IF('App Log'!E295="","",'App Log'!E295)</f>
      </c>
      <c r="M295" s="5">
        <f>IF(AND('Actual Game'!E295="",'App Log'!E295=""),"",IF(TRIM('Actual Game'!E295&amp;"")=TRIM('App Log'!E295&amp;""),"MATCH","DIFF"))</f>
      </c>
      <c r="N295" s="5">
        <f>IF('Actual Game'!F295="","",'Actual Game'!F295)</f>
      </c>
      <c r="O295" s="5">
        <f>IF('App Log'!F295="","",'App Log'!F295)</f>
      </c>
      <c r="P295" s="5">
        <f>IF(AND('Actual Game'!F295="",'App Log'!F295=""),"",IF(TRIM('Actual Game'!F295&amp;"")=TRIM('App Log'!F295&amp;""),"MATCH","DIFF"))</f>
      </c>
      <c r="Q295" s="5">
        <f>IF('Actual Game'!I295="","",'Actual Game'!I295)</f>
      </c>
      <c r="R295" s="5">
        <f>IF('App Log'!I295="","",'App Log'!I295)</f>
      </c>
      <c r="S295" s="5">
        <f>IF(AND('Actual Game'!I295="",'App Log'!I295=""),"",IF(TRIM('Actual Game'!I295&amp;"")=TRIM('App Log'!I295&amp;""),"MATCH","DIFF"))</f>
      </c>
      <c r="T295" s="5">
        <f>IF('Actual Game'!H295="","",'Actual Game'!H295)</f>
      </c>
      <c r="U295" s="5">
        <f>IF('App Log'!H295="","",'App Log'!H295)</f>
      </c>
      <c r="V295" s="5">
        <f>IF(AND('Actual Game'!H295="",'App Log'!H295=""),"",IF(TRIM('Actual Game'!H295&amp;"")=TRIM('App Log'!H295&amp;""),"MATCH","DIFF"))</f>
      </c>
      <c r="W295" s="5">
        <f>IF('Actual Game'!J295="","",'Actual Game'!J295)</f>
      </c>
      <c r="X295" s="5">
        <f>IF('App Log'!J295="","",'App Log'!J295)</f>
      </c>
      <c r="Y295" s="5">
        <f>IF(AND('Actual Game'!J295="",'App Log'!J295=""),"",IF(TRIM('Actual Game'!J295&amp;"")=TRIM('App Log'!J295&amp;""),"MATCH","DIFF"))</f>
      </c>
      <c r="Z295" s="5">
        <f>IF('Actual Game'!K295="","",'Actual Game'!K295)</f>
      </c>
      <c r="AA295" s="5">
        <f>IF('App Log'!K295="","",'App Log'!K295)</f>
      </c>
      <c r="AB295" s="5">
        <f>IF(AND('Actual Game'!K295="",'App Log'!K295=""),"",IF(TRIM('Actual Game'!K295&amp;"")=TRIM('App Log'!K295&amp;""),"MATCH","DIFF"))</f>
      </c>
      <c r="AC295" s="5">
        <f>IF(AND('Actual Game'!A295="",'App Log'!A295=""),"",IF(COUNTIF(D295:AB295,"DIFF")=0,"MATCH","CHECK"))</f>
      </c>
    </row>
    <row r="296" ht="19" customHeight="1">
      <c r="A296" s="5"/>
      <c r="B296" s="5">
        <f>IF('Actual Game'!B296="","",'Actual Game'!B296)</f>
      </c>
      <c r="C296" s="5">
        <f>IF('App Log'!B296="","",'App Log'!B296)</f>
      </c>
      <c r="D296" s="5">
        <f>IF(AND('Actual Game'!B296="",'App Log'!B296=""),"",IF(TRIM('Actual Game'!B296&amp;"")=TRIM('App Log'!B296&amp;""),"MATCH","DIFF"))</f>
      </c>
      <c r="E296" s="5">
        <f>IF('Actual Game'!C296="","",'Actual Game'!C296)</f>
      </c>
      <c r="F296" s="5">
        <f>IF('App Log'!C296="","",'App Log'!C296)</f>
      </c>
      <c r="G296" s="5">
        <f>IF(AND('Actual Game'!C296="",'App Log'!C296=""),"",IF(TRIM('Actual Game'!C296&amp;"")=TRIM('App Log'!C296&amp;""),"MATCH","DIFF"))</f>
      </c>
      <c r="H296" s="5">
        <f>IF('Actual Game'!D296="","",'Actual Game'!D296)</f>
      </c>
      <c r="I296" s="5">
        <f>IF('App Log'!D296="","",'App Log'!D296)</f>
      </c>
      <c r="J296" s="5">
        <f>IF(AND('Actual Game'!D296="",'App Log'!D296=""),"",IF(TRIM('Actual Game'!D296&amp;"")=TRIM('App Log'!D296&amp;""),"MATCH","DIFF"))</f>
      </c>
      <c r="K296" s="5">
        <f>IF('Actual Game'!E296="","",'Actual Game'!E296)</f>
      </c>
      <c r="L296" s="5">
        <f>IF('App Log'!E296="","",'App Log'!E296)</f>
      </c>
      <c r="M296" s="5">
        <f>IF(AND('Actual Game'!E296="",'App Log'!E296=""),"",IF(TRIM('Actual Game'!E296&amp;"")=TRIM('App Log'!E296&amp;""),"MATCH","DIFF"))</f>
      </c>
      <c r="N296" s="5">
        <f>IF('Actual Game'!F296="","",'Actual Game'!F296)</f>
      </c>
      <c r="O296" s="5">
        <f>IF('App Log'!F296="","",'App Log'!F296)</f>
      </c>
      <c r="P296" s="5">
        <f>IF(AND('Actual Game'!F296="",'App Log'!F296=""),"",IF(TRIM('Actual Game'!F296&amp;"")=TRIM('App Log'!F296&amp;""),"MATCH","DIFF"))</f>
      </c>
      <c r="Q296" s="5">
        <f>IF('Actual Game'!I296="","",'Actual Game'!I296)</f>
      </c>
      <c r="R296" s="5">
        <f>IF('App Log'!I296="","",'App Log'!I296)</f>
      </c>
      <c r="S296" s="5">
        <f>IF(AND('Actual Game'!I296="",'App Log'!I296=""),"",IF(TRIM('Actual Game'!I296&amp;"")=TRIM('App Log'!I296&amp;""),"MATCH","DIFF"))</f>
      </c>
      <c r="T296" s="5">
        <f>IF('Actual Game'!H296="","",'Actual Game'!H296)</f>
      </c>
      <c r="U296" s="5">
        <f>IF('App Log'!H296="","",'App Log'!H296)</f>
      </c>
      <c r="V296" s="5">
        <f>IF(AND('Actual Game'!H296="",'App Log'!H296=""),"",IF(TRIM('Actual Game'!H296&amp;"")=TRIM('App Log'!H296&amp;""),"MATCH","DIFF"))</f>
      </c>
      <c r="W296" s="5">
        <f>IF('Actual Game'!J296="","",'Actual Game'!J296)</f>
      </c>
      <c r="X296" s="5">
        <f>IF('App Log'!J296="","",'App Log'!J296)</f>
      </c>
      <c r="Y296" s="5">
        <f>IF(AND('Actual Game'!J296="",'App Log'!J296=""),"",IF(TRIM('Actual Game'!J296&amp;"")=TRIM('App Log'!J296&amp;""),"MATCH","DIFF"))</f>
      </c>
      <c r="Z296" s="5">
        <f>IF('Actual Game'!K296="","",'Actual Game'!K296)</f>
      </c>
      <c r="AA296" s="5">
        <f>IF('App Log'!K296="","",'App Log'!K296)</f>
      </c>
      <c r="AB296" s="5">
        <f>IF(AND('Actual Game'!K296="",'App Log'!K296=""),"",IF(TRIM('Actual Game'!K296&amp;"")=TRIM('App Log'!K296&amp;""),"MATCH","DIFF"))</f>
      </c>
      <c r="AC296" s="5">
        <f>IF(AND('Actual Game'!A296="",'App Log'!A296=""),"",IF(COUNTIF(D296:AB296,"DIFF")=0,"MATCH","CHECK"))</f>
      </c>
    </row>
    <row r="297" ht="19" customHeight="1">
      <c r="A297" s="5"/>
      <c r="B297" s="5">
        <f>IF('Actual Game'!B297="","",'Actual Game'!B297)</f>
      </c>
      <c r="C297" s="5">
        <f>IF('App Log'!B297="","",'App Log'!B297)</f>
      </c>
      <c r="D297" s="5">
        <f>IF(AND('Actual Game'!B297="",'App Log'!B297=""),"",IF(TRIM('Actual Game'!B297&amp;"")=TRIM('App Log'!B297&amp;""),"MATCH","DIFF"))</f>
      </c>
      <c r="E297" s="5">
        <f>IF('Actual Game'!C297="","",'Actual Game'!C297)</f>
      </c>
      <c r="F297" s="5">
        <f>IF('App Log'!C297="","",'App Log'!C297)</f>
      </c>
      <c r="G297" s="5">
        <f>IF(AND('Actual Game'!C297="",'App Log'!C297=""),"",IF(TRIM('Actual Game'!C297&amp;"")=TRIM('App Log'!C297&amp;""),"MATCH","DIFF"))</f>
      </c>
      <c r="H297" s="5">
        <f>IF('Actual Game'!D297="","",'Actual Game'!D297)</f>
      </c>
      <c r="I297" s="5">
        <f>IF('App Log'!D297="","",'App Log'!D297)</f>
      </c>
      <c r="J297" s="5">
        <f>IF(AND('Actual Game'!D297="",'App Log'!D297=""),"",IF(TRIM('Actual Game'!D297&amp;"")=TRIM('App Log'!D297&amp;""),"MATCH","DIFF"))</f>
      </c>
      <c r="K297" s="5">
        <f>IF('Actual Game'!E297="","",'Actual Game'!E297)</f>
      </c>
      <c r="L297" s="5">
        <f>IF('App Log'!E297="","",'App Log'!E297)</f>
      </c>
      <c r="M297" s="5">
        <f>IF(AND('Actual Game'!E297="",'App Log'!E297=""),"",IF(TRIM('Actual Game'!E297&amp;"")=TRIM('App Log'!E297&amp;""),"MATCH","DIFF"))</f>
      </c>
      <c r="N297" s="5">
        <f>IF('Actual Game'!F297="","",'Actual Game'!F297)</f>
      </c>
      <c r="O297" s="5">
        <f>IF('App Log'!F297="","",'App Log'!F297)</f>
      </c>
      <c r="P297" s="5">
        <f>IF(AND('Actual Game'!F297="",'App Log'!F297=""),"",IF(TRIM('Actual Game'!F297&amp;"")=TRIM('App Log'!F297&amp;""),"MATCH","DIFF"))</f>
      </c>
      <c r="Q297" s="5">
        <f>IF('Actual Game'!I297="","",'Actual Game'!I297)</f>
      </c>
      <c r="R297" s="5">
        <f>IF('App Log'!I297="","",'App Log'!I297)</f>
      </c>
      <c r="S297" s="5">
        <f>IF(AND('Actual Game'!I297="",'App Log'!I297=""),"",IF(TRIM('Actual Game'!I297&amp;"")=TRIM('App Log'!I297&amp;""),"MATCH","DIFF"))</f>
      </c>
      <c r="T297" s="5">
        <f>IF('Actual Game'!H297="","",'Actual Game'!H297)</f>
      </c>
      <c r="U297" s="5">
        <f>IF('App Log'!H297="","",'App Log'!H297)</f>
      </c>
      <c r="V297" s="5">
        <f>IF(AND('Actual Game'!H297="",'App Log'!H297=""),"",IF(TRIM('Actual Game'!H297&amp;"")=TRIM('App Log'!H297&amp;""),"MATCH","DIFF"))</f>
      </c>
      <c r="W297" s="5">
        <f>IF('Actual Game'!J297="","",'Actual Game'!J297)</f>
      </c>
      <c r="X297" s="5">
        <f>IF('App Log'!J297="","",'App Log'!J297)</f>
      </c>
      <c r="Y297" s="5">
        <f>IF(AND('Actual Game'!J297="",'App Log'!J297=""),"",IF(TRIM('Actual Game'!J297&amp;"")=TRIM('App Log'!J297&amp;""),"MATCH","DIFF"))</f>
      </c>
      <c r="Z297" s="5">
        <f>IF('Actual Game'!K297="","",'Actual Game'!K297)</f>
      </c>
      <c r="AA297" s="5">
        <f>IF('App Log'!K297="","",'App Log'!K297)</f>
      </c>
      <c r="AB297" s="5">
        <f>IF(AND('Actual Game'!K297="",'App Log'!K297=""),"",IF(TRIM('Actual Game'!K297&amp;"")=TRIM('App Log'!K297&amp;""),"MATCH","DIFF"))</f>
      </c>
      <c r="AC297" s="5">
        <f>IF(AND('Actual Game'!A297="",'App Log'!A297=""),"",IF(COUNTIF(D297:AB297,"DIFF")=0,"MATCH","CHECK"))</f>
      </c>
    </row>
    <row r="298" ht="19" customHeight="1">
      <c r="A298" s="5"/>
      <c r="B298" s="5">
        <f>IF('Actual Game'!B298="","",'Actual Game'!B298)</f>
      </c>
      <c r="C298" s="5">
        <f>IF('App Log'!B298="","",'App Log'!B298)</f>
      </c>
      <c r="D298" s="5">
        <f>IF(AND('Actual Game'!B298="",'App Log'!B298=""),"",IF(TRIM('Actual Game'!B298&amp;"")=TRIM('App Log'!B298&amp;""),"MATCH","DIFF"))</f>
      </c>
      <c r="E298" s="5">
        <f>IF('Actual Game'!C298="","",'Actual Game'!C298)</f>
      </c>
      <c r="F298" s="5">
        <f>IF('App Log'!C298="","",'App Log'!C298)</f>
      </c>
      <c r="G298" s="5">
        <f>IF(AND('Actual Game'!C298="",'App Log'!C298=""),"",IF(TRIM('Actual Game'!C298&amp;"")=TRIM('App Log'!C298&amp;""),"MATCH","DIFF"))</f>
      </c>
      <c r="H298" s="5">
        <f>IF('Actual Game'!D298="","",'Actual Game'!D298)</f>
      </c>
      <c r="I298" s="5">
        <f>IF('App Log'!D298="","",'App Log'!D298)</f>
      </c>
      <c r="J298" s="5">
        <f>IF(AND('Actual Game'!D298="",'App Log'!D298=""),"",IF(TRIM('Actual Game'!D298&amp;"")=TRIM('App Log'!D298&amp;""),"MATCH","DIFF"))</f>
      </c>
      <c r="K298" s="5">
        <f>IF('Actual Game'!E298="","",'Actual Game'!E298)</f>
      </c>
      <c r="L298" s="5">
        <f>IF('App Log'!E298="","",'App Log'!E298)</f>
      </c>
      <c r="M298" s="5">
        <f>IF(AND('Actual Game'!E298="",'App Log'!E298=""),"",IF(TRIM('Actual Game'!E298&amp;"")=TRIM('App Log'!E298&amp;""),"MATCH","DIFF"))</f>
      </c>
      <c r="N298" s="5">
        <f>IF('Actual Game'!F298="","",'Actual Game'!F298)</f>
      </c>
      <c r="O298" s="5">
        <f>IF('App Log'!F298="","",'App Log'!F298)</f>
      </c>
      <c r="P298" s="5">
        <f>IF(AND('Actual Game'!F298="",'App Log'!F298=""),"",IF(TRIM('Actual Game'!F298&amp;"")=TRIM('App Log'!F298&amp;""),"MATCH","DIFF"))</f>
      </c>
      <c r="Q298" s="5">
        <f>IF('Actual Game'!I298="","",'Actual Game'!I298)</f>
      </c>
      <c r="R298" s="5">
        <f>IF('App Log'!I298="","",'App Log'!I298)</f>
      </c>
      <c r="S298" s="5">
        <f>IF(AND('Actual Game'!I298="",'App Log'!I298=""),"",IF(TRIM('Actual Game'!I298&amp;"")=TRIM('App Log'!I298&amp;""),"MATCH","DIFF"))</f>
      </c>
      <c r="T298" s="5">
        <f>IF('Actual Game'!H298="","",'Actual Game'!H298)</f>
      </c>
      <c r="U298" s="5">
        <f>IF('App Log'!H298="","",'App Log'!H298)</f>
      </c>
      <c r="V298" s="5">
        <f>IF(AND('Actual Game'!H298="",'App Log'!H298=""),"",IF(TRIM('Actual Game'!H298&amp;"")=TRIM('App Log'!H298&amp;""),"MATCH","DIFF"))</f>
      </c>
      <c r="W298" s="5">
        <f>IF('Actual Game'!J298="","",'Actual Game'!J298)</f>
      </c>
      <c r="X298" s="5">
        <f>IF('App Log'!J298="","",'App Log'!J298)</f>
      </c>
      <c r="Y298" s="5">
        <f>IF(AND('Actual Game'!J298="",'App Log'!J298=""),"",IF(TRIM('Actual Game'!J298&amp;"")=TRIM('App Log'!J298&amp;""),"MATCH","DIFF"))</f>
      </c>
      <c r="Z298" s="5">
        <f>IF('Actual Game'!K298="","",'Actual Game'!K298)</f>
      </c>
      <c r="AA298" s="5">
        <f>IF('App Log'!K298="","",'App Log'!K298)</f>
      </c>
      <c r="AB298" s="5">
        <f>IF(AND('Actual Game'!K298="",'App Log'!K298=""),"",IF(TRIM('Actual Game'!K298&amp;"")=TRIM('App Log'!K298&amp;""),"MATCH","DIFF"))</f>
      </c>
      <c r="AC298" s="5">
        <f>IF(AND('Actual Game'!A298="",'App Log'!A298=""),"",IF(COUNTIF(D298:AB298,"DIFF")=0,"MATCH","CHECK"))</f>
      </c>
    </row>
    <row r="299" ht="19" customHeight="1">
      <c r="A299" s="5"/>
      <c r="B299" s="5">
        <f>IF('Actual Game'!B299="","",'Actual Game'!B299)</f>
      </c>
      <c r="C299" s="5">
        <f>IF('App Log'!B299="","",'App Log'!B299)</f>
      </c>
      <c r="D299" s="5">
        <f>IF(AND('Actual Game'!B299="",'App Log'!B299=""),"",IF(TRIM('Actual Game'!B299&amp;"")=TRIM('App Log'!B299&amp;""),"MATCH","DIFF"))</f>
      </c>
      <c r="E299" s="5">
        <f>IF('Actual Game'!C299="","",'Actual Game'!C299)</f>
      </c>
      <c r="F299" s="5">
        <f>IF('App Log'!C299="","",'App Log'!C299)</f>
      </c>
      <c r="G299" s="5">
        <f>IF(AND('Actual Game'!C299="",'App Log'!C299=""),"",IF(TRIM('Actual Game'!C299&amp;"")=TRIM('App Log'!C299&amp;""),"MATCH","DIFF"))</f>
      </c>
      <c r="H299" s="5">
        <f>IF('Actual Game'!D299="","",'Actual Game'!D299)</f>
      </c>
      <c r="I299" s="5">
        <f>IF('App Log'!D299="","",'App Log'!D299)</f>
      </c>
      <c r="J299" s="5">
        <f>IF(AND('Actual Game'!D299="",'App Log'!D299=""),"",IF(TRIM('Actual Game'!D299&amp;"")=TRIM('App Log'!D299&amp;""),"MATCH","DIFF"))</f>
      </c>
      <c r="K299" s="5">
        <f>IF('Actual Game'!E299="","",'Actual Game'!E299)</f>
      </c>
      <c r="L299" s="5">
        <f>IF('App Log'!E299="","",'App Log'!E299)</f>
      </c>
      <c r="M299" s="5">
        <f>IF(AND('Actual Game'!E299="",'App Log'!E299=""),"",IF(TRIM('Actual Game'!E299&amp;"")=TRIM('App Log'!E299&amp;""),"MATCH","DIFF"))</f>
      </c>
      <c r="N299" s="5">
        <f>IF('Actual Game'!F299="","",'Actual Game'!F299)</f>
      </c>
      <c r="O299" s="5">
        <f>IF('App Log'!F299="","",'App Log'!F299)</f>
      </c>
      <c r="P299" s="5">
        <f>IF(AND('Actual Game'!F299="",'App Log'!F299=""),"",IF(TRIM('Actual Game'!F299&amp;"")=TRIM('App Log'!F299&amp;""),"MATCH","DIFF"))</f>
      </c>
      <c r="Q299" s="5">
        <f>IF('Actual Game'!I299="","",'Actual Game'!I299)</f>
      </c>
      <c r="R299" s="5">
        <f>IF('App Log'!I299="","",'App Log'!I299)</f>
      </c>
      <c r="S299" s="5">
        <f>IF(AND('Actual Game'!I299="",'App Log'!I299=""),"",IF(TRIM('Actual Game'!I299&amp;"")=TRIM('App Log'!I299&amp;""),"MATCH","DIFF"))</f>
      </c>
      <c r="T299" s="5">
        <f>IF('Actual Game'!H299="","",'Actual Game'!H299)</f>
      </c>
      <c r="U299" s="5">
        <f>IF('App Log'!H299="","",'App Log'!H299)</f>
      </c>
      <c r="V299" s="5">
        <f>IF(AND('Actual Game'!H299="",'App Log'!H299=""),"",IF(TRIM('Actual Game'!H299&amp;"")=TRIM('App Log'!H299&amp;""),"MATCH","DIFF"))</f>
      </c>
      <c r="W299" s="5">
        <f>IF('Actual Game'!J299="","",'Actual Game'!J299)</f>
      </c>
      <c r="X299" s="5">
        <f>IF('App Log'!J299="","",'App Log'!J299)</f>
      </c>
      <c r="Y299" s="5">
        <f>IF(AND('Actual Game'!J299="",'App Log'!J299=""),"",IF(TRIM('Actual Game'!J299&amp;"")=TRIM('App Log'!J299&amp;""),"MATCH","DIFF"))</f>
      </c>
      <c r="Z299" s="5">
        <f>IF('Actual Game'!K299="","",'Actual Game'!K299)</f>
      </c>
      <c r="AA299" s="5">
        <f>IF('App Log'!K299="","",'App Log'!K299)</f>
      </c>
      <c r="AB299" s="5">
        <f>IF(AND('Actual Game'!K299="",'App Log'!K299=""),"",IF(TRIM('Actual Game'!K299&amp;"")=TRIM('App Log'!K299&amp;""),"MATCH","DIFF"))</f>
      </c>
      <c r="AC299" s="5">
        <f>IF(AND('Actual Game'!A299="",'App Log'!A299=""),"",IF(COUNTIF(D299:AB299,"DIFF")=0,"MATCH","CHECK"))</f>
      </c>
    </row>
    <row r="300" ht="19" customHeight="1">
      <c r="A300" s="5"/>
      <c r="B300" s="5">
        <f>IF('Actual Game'!B300="","",'Actual Game'!B300)</f>
      </c>
      <c r="C300" s="5">
        <f>IF('App Log'!B300="","",'App Log'!B300)</f>
      </c>
      <c r="D300" s="5">
        <f>IF(AND('Actual Game'!B300="",'App Log'!B300=""),"",IF(TRIM('Actual Game'!B300&amp;"")=TRIM('App Log'!B300&amp;""),"MATCH","DIFF"))</f>
      </c>
      <c r="E300" s="5">
        <f>IF('Actual Game'!C300="","",'Actual Game'!C300)</f>
      </c>
      <c r="F300" s="5">
        <f>IF('App Log'!C300="","",'App Log'!C300)</f>
      </c>
      <c r="G300" s="5">
        <f>IF(AND('Actual Game'!C300="",'App Log'!C300=""),"",IF(TRIM('Actual Game'!C300&amp;"")=TRIM('App Log'!C300&amp;""),"MATCH","DIFF"))</f>
      </c>
      <c r="H300" s="5">
        <f>IF('Actual Game'!D300="","",'Actual Game'!D300)</f>
      </c>
      <c r="I300" s="5">
        <f>IF('App Log'!D300="","",'App Log'!D300)</f>
      </c>
      <c r="J300" s="5">
        <f>IF(AND('Actual Game'!D300="",'App Log'!D300=""),"",IF(TRIM('Actual Game'!D300&amp;"")=TRIM('App Log'!D300&amp;""),"MATCH","DIFF"))</f>
      </c>
      <c r="K300" s="5">
        <f>IF('Actual Game'!E300="","",'Actual Game'!E300)</f>
      </c>
      <c r="L300" s="5">
        <f>IF('App Log'!E300="","",'App Log'!E300)</f>
      </c>
      <c r="M300" s="5">
        <f>IF(AND('Actual Game'!E300="",'App Log'!E300=""),"",IF(TRIM('Actual Game'!E300&amp;"")=TRIM('App Log'!E300&amp;""),"MATCH","DIFF"))</f>
      </c>
      <c r="N300" s="5">
        <f>IF('Actual Game'!F300="","",'Actual Game'!F300)</f>
      </c>
      <c r="O300" s="5">
        <f>IF('App Log'!F300="","",'App Log'!F300)</f>
      </c>
      <c r="P300" s="5">
        <f>IF(AND('Actual Game'!F300="",'App Log'!F300=""),"",IF(TRIM('Actual Game'!F300&amp;"")=TRIM('App Log'!F300&amp;""),"MATCH","DIFF"))</f>
      </c>
      <c r="Q300" s="5">
        <f>IF('Actual Game'!I300="","",'Actual Game'!I300)</f>
      </c>
      <c r="R300" s="5">
        <f>IF('App Log'!I300="","",'App Log'!I300)</f>
      </c>
      <c r="S300" s="5">
        <f>IF(AND('Actual Game'!I300="",'App Log'!I300=""),"",IF(TRIM('Actual Game'!I300&amp;"")=TRIM('App Log'!I300&amp;""),"MATCH","DIFF"))</f>
      </c>
      <c r="T300" s="5">
        <f>IF('Actual Game'!H300="","",'Actual Game'!H300)</f>
      </c>
      <c r="U300" s="5">
        <f>IF('App Log'!H300="","",'App Log'!H300)</f>
      </c>
      <c r="V300" s="5">
        <f>IF(AND('Actual Game'!H300="",'App Log'!H300=""),"",IF(TRIM('Actual Game'!H300&amp;"")=TRIM('App Log'!H300&amp;""),"MATCH","DIFF"))</f>
      </c>
      <c r="W300" s="5">
        <f>IF('Actual Game'!J300="","",'Actual Game'!J300)</f>
      </c>
      <c r="X300" s="5">
        <f>IF('App Log'!J300="","",'App Log'!J300)</f>
      </c>
      <c r="Y300" s="5">
        <f>IF(AND('Actual Game'!J300="",'App Log'!J300=""),"",IF(TRIM('Actual Game'!J300&amp;"")=TRIM('App Log'!J300&amp;""),"MATCH","DIFF"))</f>
      </c>
      <c r="Z300" s="5">
        <f>IF('Actual Game'!K300="","",'Actual Game'!K300)</f>
      </c>
      <c r="AA300" s="5">
        <f>IF('App Log'!K300="","",'App Log'!K300)</f>
      </c>
      <c r="AB300" s="5">
        <f>IF(AND('Actual Game'!K300="",'App Log'!K300=""),"",IF(TRIM('Actual Game'!K300&amp;"")=TRIM('App Log'!K300&amp;""),"MATCH","DIFF"))</f>
      </c>
      <c r="AC300" s="5">
        <f>IF(AND('Actual Game'!A300="",'App Log'!A300=""),"",IF(COUNTIF(D300:AB300,"DIFF")=0,"MATCH","CHECK"))</f>
      </c>
    </row>
    <row r="301" ht="19" customHeight="1">
      <c r="A301" s="5"/>
      <c r="B301" s="5">
        <f>IF('Actual Game'!B301="","",'Actual Game'!B301)</f>
      </c>
      <c r="C301" s="5">
        <f>IF('App Log'!B301="","",'App Log'!B301)</f>
      </c>
      <c r="D301" s="5">
        <f>IF(AND('Actual Game'!B301="",'App Log'!B301=""),"",IF(TRIM('Actual Game'!B301&amp;"")=TRIM('App Log'!B301&amp;""),"MATCH","DIFF"))</f>
      </c>
      <c r="E301" s="5">
        <f>IF('Actual Game'!C301="","",'Actual Game'!C301)</f>
      </c>
      <c r="F301" s="5">
        <f>IF('App Log'!C301="","",'App Log'!C301)</f>
      </c>
      <c r="G301" s="5">
        <f>IF(AND('Actual Game'!C301="",'App Log'!C301=""),"",IF(TRIM('Actual Game'!C301&amp;"")=TRIM('App Log'!C301&amp;""),"MATCH","DIFF"))</f>
      </c>
      <c r="H301" s="5">
        <f>IF('Actual Game'!D301="","",'Actual Game'!D301)</f>
      </c>
      <c r="I301" s="5">
        <f>IF('App Log'!D301="","",'App Log'!D301)</f>
      </c>
      <c r="J301" s="5">
        <f>IF(AND('Actual Game'!D301="",'App Log'!D301=""),"",IF(TRIM('Actual Game'!D301&amp;"")=TRIM('App Log'!D301&amp;""),"MATCH","DIFF"))</f>
      </c>
      <c r="K301" s="5">
        <f>IF('Actual Game'!E301="","",'Actual Game'!E301)</f>
      </c>
      <c r="L301" s="5">
        <f>IF('App Log'!E301="","",'App Log'!E301)</f>
      </c>
      <c r="M301" s="5">
        <f>IF(AND('Actual Game'!E301="",'App Log'!E301=""),"",IF(TRIM('Actual Game'!E301&amp;"")=TRIM('App Log'!E301&amp;""),"MATCH","DIFF"))</f>
      </c>
      <c r="N301" s="5">
        <f>IF('Actual Game'!F301="","",'Actual Game'!F301)</f>
      </c>
      <c r="O301" s="5">
        <f>IF('App Log'!F301="","",'App Log'!F301)</f>
      </c>
      <c r="P301" s="5">
        <f>IF(AND('Actual Game'!F301="",'App Log'!F301=""),"",IF(TRIM('Actual Game'!F301&amp;"")=TRIM('App Log'!F301&amp;""),"MATCH","DIFF"))</f>
      </c>
      <c r="Q301" s="5">
        <f>IF('Actual Game'!I301="","",'Actual Game'!I301)</f>
      </c>
      <c r="R301" s="5">
        <f>IF('App Log'!I301="","",'App Log'!I301)</f>
      </c>
      <c r="S301" s="5">
        <f>IF(AND('Actual Game'!I301="",'App Log'!I301=""),"",IF(TRIM('Actual Game'!I301&amp;"")=TRIM('App Log'!I301&amp;""),"MATCH","DIFF"))</f>
      </c>
      <c r="T301" s="5">
        <f>IF('Actual Game'!H301="","",'Actual Game'!H301)</f>
      </c>
      <c r="U301" s="5">
        <f>IF('App Log'!H301="","",'App Log'!H301)</f>
      </c>
      <c r="V301" s="5">
        <f>IF(AND('Actual Game'!H301="",'App Log'!H301=""),"",IF(TRIM('Actual Game'!H301&amp;"")=TRIM('App Log'!H301&amp;""),"MATCH","DIFF"))</f>
      </c>
      <c r="W301" s="5">
        <f>IF('Actual Game'!J301="","",'Actual Game'!J301)</f>
      </c>
      <c r="X301" s="5">
        <f>IF('App Log'!J301="","",'App Log'!J301)</f>
      </c>
      <c r="Y301" s="5">
        <f>IF(AND('Actual Game'!J301="",'App Log'!J301=""),"",IF(TRIM('Actual Game'!J301&amp;"")=TRIM('App Log'!J301&amp;""),"MATCH","DIFF"))</f>
      </c>
      <c r="Z301" s="5">
        <f>IF('Actual Game'!K301="","",'Actual Game'!K301)</f>
      </c>
      <c r="AA301" s="5">
        <f>IF('App Log'!K301="","",'App Log'!K301)</f>
      </c>
      <c r="AB301" s="5">
        <f>IF(AND('Actual Game'!K301="",'App Log'!K301=""),"",IF(TRIM('Actual Game'!K301&amp;"")=TRIM('App Log'!K301&amp;""),"MATCH","DIFF"))</f>
      </c>
      <c r="AC301" s="5">
        <f>IF(AND('Actual Game'!A301="",'App Log'!A301=""),"",IF(COUNTIF(D301:AB301,"DIFF")=0,"MATCH","CHECK"))</f>
      </c>
    </row>
    <row r="302" ht="19" customHeight="1">
      <c r="A302" s="5"/>
      <c r="B302" s="5">
        <f>IF('Actual Game'!B302="","",'Actual Game'!B302)</f>
      </c>
      <c r="C302" s="5">
        <f>IF('App Log'!B302="","",'App Log'!B302)</f>
      </c>
      <c r="D302" s="5">
        <f>IF(AND('Actual Game'!B302="",'App Log'!B302=""),"",IF(TRIM('Actual Game'!B302&amp;"")=TRIM('App Log'!B302&amp;""),"MATCH","DIFF"))</f>
      </c>
      <c r="E302" s="5">
        <f>IF('Actual Game'!C302="","",'Actual Game'!C302)</f>
      </c>
      <c r="F302" s="5">
        <f>IF('App Log'!C302="","",'App Log'!C302)</f>
      </c>
      <c r="G302" s="5">
        <f>IF(AND('Actual Game'!C302="",'App Log'!C302=""),"",IF(TRIM('Actual Game'!C302&amp;"")=TRIM('App Log'!C302&amp;""),"MATCH","DIFF"))</f>
      </c>
      <c r="H302" s="5">
        <f>IF('Actual Game'!D302="","",'Actual Game'!D302)</f>
      </c>
      <c r="I302" s="5">
        <f>IF('App Log'!D302="","",'App Log'!D302)</f>
      </c>
      <c r="J302" s="5">
        <f>IF(AND('Actual Game'!D302="",'App Log'!D302=""),"",IF(TRIM('Actual Game'!D302&amp;"")=TRIM('App Log'!D302&amp;""),"MATCH","DIFF"))</f>
      </c>
      <c r="K302" s="5">
        <f>IF('Actual Game'!E302="","",'Actual Game'!E302)</f>
      </c>
      <c r="L302" s="5">
        <f>IF('App Log'!E302="","",'App Log'!E302)</f>
      </c>
      <c r="M302" s="5">
        <f>IF(AND('Actual Game'!E302="",'App Log'!E302=""),"",IF(TRIM('Actual Game'!E302&amp;"")=TRIM('App Log'!E302&amp;""),"MATCH","DIFF"))</f>
      </c>
      <c r="N302" s="5">
        <f>IF('Actual Game'!F302="","",'Actual Game'!F302)</f>
      </c>
      <c r="O302" s="5">
        <f>IF('App Log'!F302="","",'App Log'!F302)</f>
      </c>
      <c r="P302" s="5">
        <f>IF(AND('Actual Game'!F302="",'App Log'!F302=""),"",IF(TRIM('Actual Game'!F302&amp;"")=TRIM('App Log'!F302&amp;""),"MATCH","DIFF"))</f>
      </c>
      <c r="Q302" s="5">
        <f>IF('Actual Game'!I302="","",'Actual Game'!I302)</f>
      </c>
      <c r="R302" s="5">
        <f>IF('App Log'!I302="","",'App Log'!I302)</f>
      </c>
      <c r="S302" s="5">
        <f>IF(AND('Actual Game'!I302="",'App Log'!I302=""),"",IF(TRIM('Actual Game'!I302&amp;"")=TRIM('App Log'!I302&amp;""),"MATCH","DIFF"))</f>
      </c>
      <c r="T302" s="5">
        <f>IF('Actual Game'!H302="","",'Actual Game'!H302)</f>
      </c>
      <c r="U302" s="5">
        <f>IF('App Log'!H302="","",'App Log'!H302)</f>
      </c>
      <c r="V302" s="5">
        <f>IF(AND('Actual Game'!H302="",'App Log'!H302=""),"",IF(TRIM('Actual Game'!H302&amp;"")=TRIM('App Log'!H302&amp;""),"MATCH","DIFF"))</f>
      </c>
      <c r="W302" s="5">
        <f>IF('Actual Game'!J302="","",'Actual Game'!J302)</f>
      </c>
      <c r="X302" s="5">
        <f>IF('App Log'!J302="","",'App Log'!J302)</f>
      </c>
      <c r="Y302" s="5">
        <f>IF(AND('Actual Game'!J302="",'App Log'!J302=""),"",IF(TRIM('Actual Game'!J302&amp;"")=TRIM('App Log'!J302&amp;""),"MATCH","DIFF"))</f>
      </c>
      <c r="Z302" s="5">
        <f>IF('Actual Game'!K302="","",'Actual Game'!K302)</f>
      </c>
      <c r="AA302" s="5">
        <f>IF('App Log'!K302="","",'App Log'!K302)</f>
      </c>
      <c r="AB302" s="5">
        <f>IF(AND('Actual Game'!K302="",'App Log'!K302=""),"",IF(TRIM('Actual Game'!K302&amp;"")=TRIM('App Log'!K302&amp;""),"MATCH","DIFF"))</f>
      </c>
      <c r="AC302" s="5">
        <f>IF(AND('Actual Game'!A302="",'App Log'!A302=""),"",IF(COUNTIF(D302:AB302,"DIFF")=0,"MATCH","CHECK"))</f>
      </c>
    </row>
    <row r="303" ht="19" customHeight="1">
      <c r="A303" s="5"/>
      <c r="B303" s="5">
        <f>IF('Actual Game'!B303="","",'Actual Game'!B303)</f>
      </c>
      <c r="C303" s="5">
        <f>IF('App Log'!B303="","",'App Log'!B303)</f>
      </c>
      <c r="D303" s="5">
        <f>IF(AND('Actual Game'!B303="",'App Log'!B303=""),"",IF(TRIM('Actual Game'!B303&amp;"")=TRIM('App Log'!B303&amp;""),"MATCH","DIFF"))</f>
      </c>
      <c r="E303" s="5">
        <f>IF('Actual Game'!C303="","",'Actual Game'!C303)</f>
      </c>
      <c r="F303" s="5">
        <f>IF('App Log'!C303="","",'App Log'!C303)</f>
      </c>
      <c r="G303" s="5">
        <f>IF(AND('Actual Game'!C303="",'App Log'!C303=""),"",IF(TRIM('Actual Game'!C303&amp;"")=TRIM('App Log'!C303&amp;""),"MATCH","DIFF"))</f>
      </c>
      <c r="H303" s="5">
        <f>IF('Actual Game'!D303="","",'Actual Game'!D303)</f>
      </c>
      <c r="I303" s="5">
        <f>IF('App Log'!D303="","",'App Log'!D303)</f>
      </c>
      <c r="J303" s="5">
        <f>IF(AND('Actual Game'!D303="",'App Log'!D303=""),"",IF(TRIM('Actual Game'!D303&amp;"")=TRIM('App Log'!D303&amp;""),"MATCH","DIFF"))</f>
      </c>
      <c r="K303" s="5">
        <f>IF('Actual Game'!E303="","",'Actual Game'!E303)</f>
      </c>
      <c r="L303" s="5">
        <f>IF('App Log'!E303="","",'App Log'!E303)</f>
      </c>
      <c r="M303" s="5">
        <f>IF(AND('Actual Game'!E303="",'App Log'!E303=""),"",IF(TRIM('Actual Game'!E303&amp;"")=TRIM('App Log'!E303&amp;""),"MATCH","DIFF"))</f>
      </c>
      <c r="N303" s="5">
        <f>IF('Actual Game'!F303="","",'Actual Game'!F303)</f>
      </c>
      <c r="O303" s="5">
        <f>IF('App Log'!F303="","",'App Log'!F303)</f>
      </c>
      <c r="P303" s="5">
        <f>IF(AND('Actual Game'!F303="",'App Log'!F303=""),"",IF(TRIM('Actual Game'!F303&amp;"")=TRIM('App Log'!F303&amp;""),"MATCH","DIFF"))</f>
      </c>
      <c r="Q303" s="5">
        <f>IF('Actual Game'!I303="","",'Actual Game'!I303)</f>
      </c>
      <c r="R303" s="5">
        <f>IF('App Log'!I303="","",'App Log'!I303)</f>
      </c>
      <c r="S303" s="5">
        <f>IF(AND('Actual Game'!I303="",'App Log'!I303=""),"",IF(TRIM('Actual Game'!I303&amp;"")=TRIM('App Log'!I303&amp;""),"MATCH","DIFF"))</f>
      </c>
      <c r="T303" s="5">
        <f>IF('Actual Game'!H303="","",'Actual Game'!H303)</f>
      </c>
      <c r="U303" s="5">
        <f>IF('App Log'!H303="","",'App Log'!H303)</f>
      </c>
      <c r="V303" s="5">
        <f>IF(AND('Actual Game'!H303="",'App Log'!H303=""),"",IF(TRIM('Actual Game'!H303&amp;"")=TRIM('App Log'!H303&amp;""),"MATCH","DIFF"))</f>
      </c>
      <c r="W303" s="5">
        <f>IF('Actual Game'!J303="","",'Actual Game'!J303)</f>
      </c>
      <c r="X303" s="5">
        <f>IF('App Log'!J303="","",'App Log'!J303)</f>
      </c>
      <c r="Y303" s="5">
        <f>IF(AND('Actual Game'!J303="",'App Log'!J303=""),"",IF(TRIM('Actual Game'!J303&amp;"")=TRIM('App Log'!J303&amp;""),"MATCH","DIFF"))</f>
      </c>
      <c r="Z303" s="5">
        <f>IF('Actual Game'!K303="","",'Actual Game'!K303)</f>
      </c>
      <c r="AA303" s="5">
        <f>IF('App Log'!K303="","",'App Log'!K303)</f>
      </c>
      <c r="AB303" s="5">
        <f>IF(AND('Actual Game'!K303="",'App Log'!K303=""),"",IF(TRIM('Actual Game'!K303&amp;"")=TRIM('App Log'!K303&amp;""),"MATCH","DIFF"))</f>
      </c>
      <c r="AC303" s="5">
        <f>IF(AND('Actual Game'!A303="",'App Log'!A303=""),"",IF(COUNTIF(D303:AB303,"DIFF")=0,"MATCH","CHECK"))</f>
      </c>
    </row>
    <row r="304" ht="19" customHeight="1">
      <c r="A304" s="5"/>
      <c r="B304" s="5">
        <f>IF('Actual Game'!B304="","",'Actual Game'!B304)</f>
      </c>
      <c r="C304" s="5">
        <f>IF('App Log'!B304="","",'App Log'!B304)</f>
      </c>
      <c r="D304" s="5">
        <f>IF(AND('Actual Game'!B304="",'App Log'!B304=""),"",IF(TRIM('Actual Game'!B304&amp;"")=TRIM('App Log'!B304&amp;""),"MATCH","DIFF"))</f>
      </c>
      <c r="E304" s="5">
        <f>IF('Actual Game'!C304="","",'Actual Game'!C304)</f>
      </c>
      <c r="F304" s="5">
        <f>IF('App Log'!C304="","",'App Log'!C304)</f>
      </c>
      <c r="G304" s="5">
        <f>IF(AND('Actual Game'!C304="",'App Log'!C304=""),"",IF(TRIM('Actual Game'!C304&amp;"")=TRIM('App Log'!C304&amp;""),"MATCH","DIFF"))</f>
      </c>
      <c r="H304" s="5">
        <f>IF('Actual Game'!D304="","",'Actual Game'!D304)</f>
      </c>
      <c r="I304" s="5">
        <f>IF('App Log'!D304="","",'App Log'!D304)</f>
      </c>
      <c r="J304" s="5">
        <f>IF(AND('Actual Game'!D304="",'App Log'!D304=""),"",IF(TRIM('Actual Game'!D304&amp;"")=TRIM('App Log'!D304&amp;""),"MATCH","DIFF"))</f>
      </c>
      <c r="K304" s="5">
        <f>IF('Actual Game'!E304="","",'Actual Game'!E304)</f>
      </c>
      <c r="L304" s="5">
        <f>IF('App Log'!E304="","",'App Log'!E304)</f>
      </c>
      <c r="M304" s="5">
        <f>IF(AND('Actual Game'!E304="",'App Log'!E304=""),"",IF(TRIM('Actual Game'!E304&amp;"")=TRIM('App Log'!E304&amp;""),"MATCH","DIFF"))</f>
      </c>
      <c r="N304" s="5">
        <f>IF('Actual Game'!F304="","",'Actual Game'!F304)</f>
      </c>
      <c r="O304" s="5">
        <f>IF('App Log'!F304="","",'App Log'!F304)</f>
      </c>
      <c r="P304" s="5">
        <f>IF(AND('Actual Game'!F304="",'App Log'!F304=""),"",IF(TRIM('Actual Game'!F304&amp;"")=TRIM('App Log'!F304&amp;""),"MATCH","DIFF"))</f>
      </c>
      <c r="Q304" s="5">
        <f>IF('Actual Game'!I304="","",'Actual Game'!I304)</f>
      </c>
      <c r="R304" s="5">
        <f>IF('App Log'!I304="","",'App Log'!I304)</f>
      </c>
      <c r="S304" s="5">
        <f>IF(AND('Actual Game'!I304="",'App Log'!I304=""),"",IF(TRIM('Actual Game'!I304&amp;"")=TRIM('App Log'!I304&amp;""),"MATCH","DIFF"))</f>
      </c>
      <c r="T304" s="5">
        <f>IF('Actual Game'!H304="","",'Actual Game'!H304)</f>
      </c>
      <c r="U304" s="5">
        <f>IF('App Log'!H304="","",'App Log'!H304)</f>
      </c>
      <c r="V304" s="5">
        <f>IF(AND('Actual Game'!H304="",'App Log'!H304=""),"",IF(TRIM('Actual Game'!H304&amp;"")=TRIM('App Log'!H304&amp;""),"MATCH","DIFF"))</f>
      </c>
      <c r="W304" s="5">
        <f>IF('Actual Game'!J304="","",'Actual Game'!J304)</f>
      </c>
      <c r="X304" s="5">
        <f>IF('App Log'!J304="","",'App Log'!J304)</f>
      </c>
      <c r="Y304" s="5">
        <f>IF(AND('Actual Game'!J304="",'App Log'!J304=""),"",IF(TRIM('Actual Game'!J304&amp;"")=TRIM('App Log'!J304&amp;""),"MATCH","DIFF"))</f>
      </c>
      <c r="Z304" s="5">
        <f>IF('Actual Game'!K304="","",'Actual Game'!K304)</f>
      </c>
      <c r="AA304" s="5">
        <f>IF('App Log'!K304="","",'App Log'!K304)</f>
      </c>
      <c r="AB304" s="5">
        <f>IF(AND('Actual Game'!K304="",'App Log'!K304=""),"",IF(TRIM('Actual Game'!K304&amp;"")=TRIM('App Log'!K304&amp;""),"MATCH","DIFF"))</f>
      </c>
      <c r="AC304" s="5">
        <f>IF(AND('Actual Game'!A304="",'App Log'!A304=""),"",IF(COUNTIF(D304:AB304,"DIFF")=0,"MATCH","CHECK"))</f>
      </c>
    </row>
    <row r="305" ht="19" customHeight="1">
      <c r="A305" s="5"/>
      <c r="B305" s="5">
        <f>IF('Actual Game'!B305="","",'Actual Game'!B305)</f>
      </c>
      <c r="C305" s="5">
        <f>IF('App Log'!B305="","",'App Log'!B305)</f>
      </c>
      <c r="D305" s="5">
        <f>IF(AND('Actual Game'!B305="",'App Log'!B305=""),"",IF(TRIM('Actual Game'!B305&amp;"")=TRIM('App Log'!B305&amp;""),"MATCH","DIFF"))</f>
      </c>
      <c r="E305" s="5">
        <f>IF('Actual Game'!C305="","",'Actual Game'!C305)</f>
      </c>
      <c r="F305" s="5">
        <f>IF('App Log'!C305="","",'App Log'!C305)</f>
      </c>
      <c r="G305" s="5">
        <f>IF(AND('Actual Game'!C305="",'App Log'!C305=""),"",IF(TRIM('Actual Game'!C305&amp;"")=TRIM('App Log'!C305&amp;""),"MATCH","DIFF"))</f>
      </c>
      <c r="H305" s="5">
        <f>IF('Actual Game'!D305="","",'Actual Game'!D305)</f>
      </c>
      <c r="I305" s="5">
        <f>IF('App Log'!D305="","",'App Log'!D305)</f>
      </c>
      <c r="J305" s="5">
        <f>IF(AND('Actual Game'!D305="",'App Log'!D305=""),"",IF(TRIM('Actual Game'!D305&amp;"")=TRIM('App Log'!D305&amp;""),"MATCH","DIFF"))</f>
      </c>
      <c r="K305" s="5">
        <f>IF('Actual Game'!E305="","",'Actual Game'!E305)</f>
      </c>
      <c r="L305" s="5">
        <f>IF('App Log'!E305="","",'App Log'!E305)</f>
      </c>
      <c r="M305" s="5">
        <f>IF(AND('Actual Game'!E305="",'App Log'!E305=""),"",IF(TRIM('Actual Game'!E305&amp;"")=TRIM('App Log'!E305&amp;""),"MATCH","DIFF"))</f>
      </c>
      <c r="N305" s="5">
        <f>IF('Actual Game'!F305="","",'Actual Game'!F305)</f>
      </c>
      <c r="O305" s="5">
        <f>IF('App Log'!F305="","",'App Log'!F305)</f>
      </c>
      <c r="P305" s="5">
        <f>IF(AND('Actual Game'!F305="",'App Log'!F305=""),"",IF(TRIM('Actual Game'!F305&amp;"")=TRIM('App Log'!F305&amp;""),"MATCH","DIFF"))</f>
      </c>
      <c r="Q305" s="5">
        <f>IF('Actual Game'!I305="","",'Actual Game'!I305)</f>
      </c>
      <c r="R305" s="5">
        <f>IF('App Log'!I305="","",'App Log'!I305)</f>
      </c>
      <c r="S305" s="5">
        <f>IF(AND('Actual Game'!I305="",'App Log'!I305=""),"",IF(TRIM('Actual Game'!I305&amp;"")=TRIM('App Log'!I305&amp;""),"MATCH","DIFF"))</f>
      </c>
      <c r="T305" s="5">
        <f>IF('Actual Game'!H305="","",'Actual Game'!H305)</f>
      </c>
      <c r="U305" s="5">
        <f>IF('App Log'!H305="","",'App Log'!H305)</f>
      </c>
      <c r="V305" s="5">
        <f>IF(AND('Actual Game'!H305="",'App Log'!H305=""),"",IF(TRIM('Actual Game'!H305&amp;"")=TRIM('App Log'!H305&amp;""),"MATCH","DIFF"))</f>
      </c>
      <c r="W305" s="5">
        <f>IF('Actual Game'!J305="","",'Actual Game'!J305)</f>
      </c>
      <c r="X305" s="5">
        <f>IF('App Log'!J305="","",'App Log'!J305)</f>
      </c>
      <c r="Y305" s="5">
        <f>IF(AND('Actual Game'!J305="",'App Log'!J305=""),"",IF(TRIM('Actual Game'!J305&amp;"")=TRIM('App Log'!J305&amp;""),"MATCH","DIFF"))</f>
      </c>
      <c r="Z305" s="5">
        <f>IF('Actual Game'!K305="","",'Actual Game'!K305)</f>
      </c>
      <c r="AA305" s="5">
        <f>IF('App Log'!K305="","",'App Log'!K305)</f>
      </c>
      <c r="AB305" s="5">
        <f>IF(AND('Actual Game'!K305="",'App Log'!K305=""),"",IF(TRIM('Actual Game'!K305&amp;"")=TRIM('App Log'!K305&amp;""),"MATCH","DIFF"))</f>
      </c>
      <c r="AC305" s="5">
        <f>IF(AND('Actual Game'!A305="",'App Log'!A305=""),"",IF(COUNTIF(D305:AB305,"DIFF")=0,"MATCH","CHECK"))</f>
      </c>
    </row>
    <row r="306" ht="19" customHeight="1">
      <c r="A306" s="5"/>
      <c r="B306" s="5">
        <f>IF('Actual Game'!B306="","",'Actual Game'!B306)</f>
      </c>
      <c r="C306" s="5">
        <f>IF('App Log'!B306="","",'App Log'!B306)</f>
      </c>
      <c r="D306" s="5">
        <f>IF(AND('Actual Game'!B306="",'App Log'!B306=""),"",IF(TRIM('Actual Game'!B306&amp;"")=TRIM('App Log'!B306&amp;""),"MATCH","DIFF"))</f>
      </c>
      <c r="E306" s="5">
        <f>IF('Actual Game'!C306="","",'Actual Game'!C306)</f>
      </c>
      <c r="F306" s="5">
        <f>IF('App Log'!C306="","",'App Log'!C306)</f>
      </c>
      <c r="G306" s="5">
        <f>IF(AND('Actual Game'!C306="",'App Log'!C306=""),"",IF(TRIM('Actual Game'!C306&amp;"")=TRIM('App Log'!C306&amp;""),"MATCH","DIFF"))</f>
      </c>
      <c r="H306" s="5">
        <f>IF('Actual Game'!D306="","",'Actual Game'!D306)</f>
      </c>
      <c r="I306" s="5">
        <f>IF('App Log'!D306="","",'App Log'!D306)</f>
      </c>
      <c r="J306" s="5">
        <f>IF(AND('Actual Game'!D306="",'App Log'!D306=""),"",IF(TRIM('Actual Game'!D306&amp;"")=TRIM('App Log'!D306&amp;""),"MATCH","DIFF"))</f>
      </c>
      <c r="K306" s="5">
        <f>IF('Actual Game'!E306="","",'Actual Game'!E306)</f>
      </c>
      <c r="L306" s="5">
        <f>IF('App Log'!E306="","",'App Log'!E306)</f>
      </c>
      <c r="M306" s="5">
        <f>IF(AND('Actual Game'!E306="",'App Log'!E306=""),"",IF(TRIM('Actual Game'!E306&amp;"")=TRIM('App Log'!E306&amp;""),"MATCH","DIFF"))</f>
      </c>
      <c r="N306" s="5">
        <f>IF('Actual Game'!F306="","",'Actual Game'!F306)</f>
      </c>
      <c r="O306" s="5">
        <f>IF('App Log'!F306="","",'App Log'!F306)</f>
      </c>
      <c r="P306" s="5">
        <f>IF(AND('Actual Game'!F306="",'App Log'!F306=""),"",IF(TRIM('Actual Game'!F306&amp;"")=TRIM('App Log'!F306&amp;""),"MATCH","DIFF"))</f>
      </c>
      <c r="Q306" s="5">
        <f>IF('Actual Game'!I306="","",'Actual Game'!I306)</f>
      </c>
      <c r="R306" s="5">
        <f>IF('App Log'!I306="","",'App Log'!I306)</f>
      </c>
      <c r="S306" s="5">
        <f>IF(AND('Actual Game'!I306="",'App Log'!I306=""),"",IF(TRIM('Actual Game'!I306&amp;"")=TRIM('App Log'!I306&amp;""),"MATCH","DIFF"))</f>
      </c>
      <c r="T306" s="5">
        <f>IF('Actual Game'!H306="","",'Actual Game'!H306)</f>
      </c>
      <c r="U306" s="5">
        <f>IF('App Log'!H306="","",'App Log'!H306)</f>
      </c>
      <c r="V306" s="5">
        <f>IF(AND('Actual Game'!H306="",'App Log'!H306=""),"",IF(TRIM('Actual Game'!H306&amp;"")=TRIM('App Log'!H306&amp;""),"MATCH","DIFF"))</f>
      </c>
      <c r="W306" s="5">
        <f>IF('Actual Game'!J306="","",'Actual Game'!J306)</f>
      </c>
      <c r="X306" s="5">
        <f>IF('App Log'!J306="","",'App Log'!J306)</f>
      </c>
      <c r="Y306" s="5">
        <f>IF(AND('Actual Game'!J306="",'App Log'!J306=""),"",IF(TRIM('Actual Game'!J306&amp;"")=TRIM('App Log'!J306&amp;""),"MATCH","DIFF"))</f>
      </c>
      <c r="Z306" s="5">
        <f>IF('Actual Game'!K306="","",'Actual Game'!K306)</f>
      </c>
      <c r="AA306" s="5">
        <f>IF('App Log'!K306="","",'App Log'!K306)</f>
      </c>
      <c r="AB306" s="5">
        <f>IF(AND('Actual Game'!K306="",'App Log'!K306=""),"",IF(TRIM('Actual Game'!K306&amp;"")=TRIM('App Log'!K306&amp;""),"MATCH","DIFF"))</f>
      </c>
      <c r="AC306" s="5">
        <f>IF(AND('Actual Game'!A306="",'App Log'!A306=""),"",IF(COUNTIF(D306:AB306,"DIFF")=0,"MATCH","CHECK"))</f>
      </c>
    </row>
    <row r="307" ht="19" customHeight="1">
      <c r="A307" s="5"/>
      <c r="B307" s="5">
        <f>IF('Actual Game'!B307="","",'Actual Game'!B307)</f>
      </c>
      <c r="C307" s="5">
        <f>IF('App Log'!B307="","",'App Log'!B307)</f>
      </c>
      <c r="D307" s="5">
        <f>IF(AND('Actual Game'!B307="",'App Log'!B307=""),"",IF(TRIM('Actual Game'!B307&amp;"")=TRIM('App Log'!B307&amp;""),"MATCH","DIFF"))</f>
      </c>
      <c r="E307" s="5">
        <f>IF('Actual Game'!C307="","",'Actual Game'!C307)</f>
      </c>
      <c r="F307" s="5">
        <f>IF('App Log'!C307="","",'App Log'!C307)</f>
      </c>
      <c r="G307" s="5">
        <f>IF(AND('Actual Game'!C307="",'App Log'!C307=""),"",IF(TRIM('Actual Game'!C307&amp;"")=TRIM('App Log'!C307&amp;""),"MATCH","DIFF"))</f>
      </c>
      <c r="H307" s="5">
        <f>IF('Actual Game'!D307="","",'Actual Game'!D307)</f>
      </c>
      <c r="I307" s="5">
        <f>IF('App Log'!D307="","",'App Log'!D307)</f>
      </c>
      <c r="J307" s="5">
        <f>IF(AND('Actual Game'!D307="",'App Log'!D307=""),"",IF(TRIM('Actual Game'!D307&amp;"")=TRIM('App Log'!D307&amp;""),"MATCH","DIFF"))</f>
      </c>
      <c r="K307" s="5">
        <f>IF('Actual Game'!E307="","",'Actual Game'!E307)</f>
      </c>
      <c r="L307" s="5">
        <f>IF('App Log'!E307="","",'App Log'!E307)</f>
      </c>
      <c r="M307" s="5">
        <f>IF(AND('Actual Game'!E307="",'App Log'!E307=""),"",IF(TRIM('Actual Game'!E307&amp;"")=TRIM('App Log'!E307&amp;""),"MATCH","DIFF"))</f>
      </c>
      <c r="N307" s="5">
        <f>IF('Actual Game'!F307="","",'Actual Game'!F307)</f>
      </c>
      <c r="O307" s="5">
        <f>IF('App Log'!F307="","",'App Log'!F307)</f>
      </c>
      <c r="P307" s="5">
        <f>IF(AND('Actual Game'!F307="",'App Log'!F307=""),"",IF(TRIM('Actual Game'!F307&amp;"")=TRIM('App Log'!F307&amp;""),"MATCH","DIFF"))</f>
      </c>
      <c r="Q307" s="5">
        <f>IF('Actual Game'!I307="","",'Actual Game'!I307)</f>
      </c>
      <c r="R307" s="5">
        <f>IF('App Log'!I307="","",'App Log'!I307)</f>
      </c>
      <c r="S307" s="5">
        <f>IF(AND('Actual Game'!I307="",'App Log'!I307=""),"",IF(TRIM('Actual Game'!I307&amp;"")=TRIM('App Log'!I307&amp;""),"MATCH","DIFF"))</f>
      </c>
      <c r="T307" s="5">
        <f>IF('Actual Game'!H307="","",'Actual Game'!H307)</f>
      </c>
      <c r="U307" s="5">
        <f>IF('App Log'!H307="","",'App Log'!H307)</f>
      </c>
      <c r="V307" s="5">
        <f>IF(AND('Actual Game'!H307="",'App Log'!H307=""),"",IF(TRIM('Actual Game'!H307&amp;"")=TRIM('App Log'!H307&amp;""),"MATCH","DIFF"))</f>
      </c>
      <c r="W307" s="5">
        <f>IF('Actual Game'!J307="","",'Actual Game'!J307)</f>
      </c>
      <c r="X307" s="5">
        <f>IF('App Log'!J307="","",'App Log'!J307)</f>
      </c>
      <c r="Y307" s="5">
        <f>IF(AND('Actual Game'!J307="",'App Log'!J307=""),"",IF(TRIM('Actual Game'!J307&amp;"")=TRIM('App Log'!J307&amp;""),"MATCH","DIFF"))</f>
      </c>
      <c r="Z307" s="5">
        <f>IF('Actual Game'!K307="","",'Actual Game'!K307)</f>
      </c>
      <c r="AA307" s="5">
        <f>IF('App Log'!K307="","",'App Log'!K307)</f>
      </c>
      <c r="AB307" s="5">
        <f>IF(AND('Actual Game'!K307="",'App Log'!K307=""),"",IF(TRIM('Actual Game'!K307&amp;"")=TRIM('App Log'!K307&amp;""),"MATCH","DIFF"))</f>
      </c>
      <c r="AC307" s="5">
        <f>IF(AND('Actual Game'!A307="",'App Log'!A307=""),"",IF(COUNTIF(D307:AB307,"DIFF")=0,"MATCH","CHECK"))</f>
      </c>
    </row>
  </sheetData>
  <autoFilter ref="A7:AC307"/>
  <mergeCells count="3">
    <mergeCell ref="A1:AC1"/>
    <mergeCell ref="A2:AC2"/>
    <mergeCell ref="A5:AC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Actual Game</vt:lpstr>
      <vt:lpstr>App Log</vt:lpstr>
      <vt:lpstr>Reconciliation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PitchMark Game Comparison Template</dc:title>
  <dc:creator>Codex</dc:creator>
  <cp:lastModifiedBy>Codex</cp:lastModifiedBy>
  <dcterms:created xsi:type="dcterms:W3CDTF">2026-06-17T00:00:00Z</dcterms:created>
  <dcterms:modified xsi:type="dcterms:W3CDTF">2026-06-17T00:00:00Z</dcterms:modified>
</cp:coreProperties>
</file>