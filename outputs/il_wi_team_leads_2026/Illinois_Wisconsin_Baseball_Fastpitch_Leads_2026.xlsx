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8ef3fe7f4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c6784ad41a54e54"/>
    <x:sheet xmlns:r="http://schemas.openxmlformats.org/officeDocument/2006/relationships" name="Team Leads" sheetId="2" r:id="R2c8baae293144e71"/>
    <x:sheet xmlns:r="http://schemas.openxmlformats.org/officeDocument/2006/relationships" name="Discovery Hubs" sheetId="3" r:id="R17a2d764b567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5324A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20"/>
      <x:color rgb="FFFFFFFF"/>
      <x:name val="Aptos"/>
    </x:font>
    <x:font>
      <x:i/>
      <x:sz val="11"/>
      <x:color rgb="FF15324A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3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AF4F8"/>
      </x:patternFill>
    </x:fill>
    <x:fill>
      <x:patternFill patternType="solid">
        <x:fgColor rgb="FF247BA0"/>
      </x:patternFill>
    </x:fill>
    <x:fill>
      <x:patternFill patternType="solid">
        <x:fgColor rgb="FF2A9D8F"/>
      </x:patternFill>
    </x:fill>
    <x:fill>
      <x:patternFill patternType="solid">
        <x:fgColor rgb="FFF8FAFC"/>
      </x:patternFill>
    </x:fill>
    <x:fill>
      <x:patternFill patternType="solid">
        <x:fgColor rgb="FFB45309"/>
      </x:patternFill>
    </x:fill>
    <x:fill>
      <x:patternFill patternType="solid">
        <x:fgColor rgb="FFFFF4CC"/>
      </x:patternFill>
    </x:fill>
  </x:fills>
  <x:borders count="7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2" xfId="0" applyNumberFormat="1" applyFont="1" applyFill="1" applyBorder="1"/>
    <x:xf numFmtId="0" fontId="7" fillId="0" borderId="3" xfId="0" applyNumberFormat="1" applyFont="1" applyFill="1" applyBorder="1"/>
    <x:xf numFmtId="200" fontId="7" fillId="0" borderId="4" xfId="0" applyNumberFormat="1" applyFont="1" applyFill="1" applyBorder="1"/>
    <x:xf numFmtId="0" fontId="7" fillId="0" borderId="5" xfId="0" applyNumberFormat="1" applyFont="1" applyFill="1" applyBorder="1"/>
    <x:xf numFmtId="200" fontId="7" fillId="0" borderId="6" xfId="0" applyNumberFormat="1" applyFont="1" applyFill="1" applyBorder="1"/>
    <x:xf numFmtId="0" fontId="9" fillId="2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EAF7F3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EAF7F3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db6a8da794948" /><Relationship Type="http://schemas.openxmlformats.org/officeDocument/2006/relationships/theme" Target="/xl/theme/theme1.xml" Id="Rc319b97577ee46ec" /><Relationship Type="http://schemas.openxmlformats.org/officeDocument/2006/relationships/sharedStrings" Target="/xl/sharedStrings.xml" Id="R6937b519d1da4566" /><Relationship Type="http://schemas.openxmlformats.org/officeDocument/2006/relationships/worksheet" Target="/xl/worksheets/sheet1.xml" Id="Rbc6784ad41a54e54" /><Relationship Type="http://schemas.openxmlformats.org/officeDocument/2006/relationships/worksheet" Target="/xl/worksheets/sheet2.xml" Id="R2c8baae293144e71" /><Relationship Type="http://schemas.openxmlformats.org/officeDocument/2006/relationships/worksheet" Target="/xl/worksheets/sheet3.xml" Id="R17a2d764b56747c3" /></Relationships>
</file>

<file path=xl/tables/table1.xml><?xml version="1.0" encoding="utf-8"?>
<x:table xmlns:x="http://schemas.openxmlformats.org/spreadsheetml/2006/main" id="1" name="TeamLeadsTable" displayName="TeamLeadsTable" ref="A1:U59" headerRowCount="1" totalsRowCount="0" totalsRowShown="0">
  <x:autoFilter ref="A1:U59"/>
  <x:tableColumns count="21">
    <x:tableColumn id="1" name="Lead ID"/>
    <x:tableColumn id="2" name="Organization / Team"/>
    <x:tableColumn id="3" name="Sport"/>
    <x:tableColumn id="4" name="State"/>
    <x:tableColumn id="5" name="City / Area"/>
    <x:tableColumn id="6" name="Region"/>
    <x:tableColumn id="7" name="Age Groups"/>
    <x:tableColumn id="8" name="Contact"/>
    <x:tableColumn id="9" name="Contact Role"/>
    <x:tableColumn id="10" name="Public Email"/>
    <x:tableColumn id="11" name="Email Type"/>
    <x:tableColumn id="12" name="Best Channel"/>
    <x:tableColumn id="13" name="Official / Contact Page"/>
    <x:tableColumn id="14" name="Facebook"/>
    <x:tableColumn id="15" name="Instagram"/>
    <x:tableColumn id="16" name="X"/>
    <x:tableColumn id="17" name="Freshness Evidence"/>
    <x:tableColumn id="18" name="Priority"/>
    <x:tableColumn id="19" name="Checked"/>
    <x:tableColumn id="20" name="Status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overyHubsTable" displayName="DiscoveryHubsTable" ref="A1:G13" headerRowCount="1" totalsRowCount="0" totalsRowShown="0">
  <x:autoFilter ref="A1:G13"/>
  <x:tableColumns count="7">
    <x:tableColumn id="1" name="Directory / Community"/>
    <x:tableColumn id="2" name="State"/>
    <x:tableColumn id="3" name="Sport"/>
    <x:tableColumn id="4" name="Current Scope"/>
    <x:tableColumn id="5" name="Public Email"/>
    <x:tableColumn id="6" name="URL"/>
    <x:tableColumn id="7" name="How to Us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8af448f5294b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0c9921da5a41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2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3" t="str">
        <x:v>PitchMark Outreach Leads — Illinois &amp; Wisconsin</x:v>
      </x:c>
      <x:c r="B1" s="33"/>
      <x:c r="C1" s="33"/>
      <x:c r="D1" s="33"/>
      <x:c r="E1" s="33"/>
      <x:c r="F1" s="33"/>
      <x:c r="G1" s="33"/>
      <x:c r="H1" s="33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 ht="15" hidden="0" customHeight="1">
      <x:c r="A3" s="34" t="str">
        <x:v>Public baseball and fastpitch contacts checked 2026-08-24</x:v>
      </x:c>
      <x:c r="B3" s="34"/>
      <x:c r="C3" s="34"/>
      <x:c r="D3" s="34"/>
      <x:c r="E3" s="34"/>
      <x:c r="F3" s="34"/>
      <x:c r="G3" s="34"/>
      <x:c r="H3" s="34"/>
    </x:row>
    <x:row r="4" ht="15" hidden="0" customHeight="1">
      <x:c r="A4" s="35"/>
      <x:c r="B4" s="35"/>
      <x:c r="C4" s="35"/>
      <x:c r="D4" s="35"/>
      <x:c r="E4" s="35"/>
      <x:c r="F4" s="35"/>
      <x:c r="G4" s="35"/>
      <x:c r="H4" s="35"/>
    </x:row>
    <x:row r="5" ht="15" hidden="0" customHeight="1">
      <x:c r="A5" s="36" t="str">
        <x:v>Lead summary</x:v>
      </x:c>
      <x:c r="B5" s="36" t="str">
        <x:v>Count</x:v>
      </x:c>
      <x:c r="C5" s="35"/>
      <x:c r="D5" s="37" t="str">
        <x:v>Outreach readiness</x:v>
      </x:c>
      <x:c r="E5" s="37" t="str">
        <x:v>Count</x:v>
      </x:c>
      <x:c r="F5" s="35"/>
      <x:c r="G5" s="35"/>
      <x:c r="H5" s="35"/>
    </x:row>
    <x:row r="6" ht="15" hidden="0" customHeight="1">
      <x:c r="A6" s="38" t="str">
        <x:v>Total leads</x:v>
      </x:c>
      <x:c r="B6" s="39" t="n">
        <x:f>COUNTA('Team Leads'!$B$2:$B$200)</x:f>
        <x:v>58</x:v>
      </x:c>
      <x:c r="C6" s="35"/>
      <x:c r="D6" s="38" t="str">
        <x:v>High priority</x:v>
      </x:c>
      <x:c r="E6" s="39" t="n">
        <x:f>COUNTIF('Team Leads'!$R$2:$R$200,"High")</x:f>
        <x:v>51</x:v>
      </x:c>
      <x:c r="F6" s="35"/>
      <x:c r="G6" s="35"/>
      <x:c r="H6" s="35"/>
    </x:row>
    <x:row r="7" ht="15" hidden="0" customHeight="1">
      <x:c r="A7" s="40" t="str">
        <x:v>Illinois</x:v>
      </x:c>
      <x:c r="B7" s="41" t="n">
        <x:f>COUNTIF('Team Leads'!$D$2:$D$200,"IL")</x:f>
        <x:v>29</x:v>
      </x:c>
      <x:c r="C7" s="35"/>
      <x:c r="D7" s="40" t="str">
        <x:v>Medium priority</x:v>
      </x:c>
      <x:c r="E7" s="41" t="n">
        <x:f>COUNTIF('Team Leads'!$R$2:$R$200,"Medium")</x:f>
        <x:v>7</x:v>
      </x:c>
      <x:c r="F7" s="35"/>
      <x:c r="G7" s="35"/>
      <x:c r="H7" s="35"/>
    </x:row>
    <x:row r="8" ht="15" hidden="0" customHeight="1">
      <x:c r="A8" s="40" t="str">
        <x:v>Wisconsin</x:v>
      </x:c>
      <x:c r="B8" s="41" t="n">
        <x:f>COUNTIF('Team Leads'!$D$2:$D$200,"WI")</x:f>
        <x:v>29</x:v>
      </x:c>
      <x:c r="C8" s="35"/>
      <x:c r="D8" s="40" t="str">
        <x:v>Email available</x:v>
      </x:c>
      <x:c r="E8" s="41" t="n">
        <x:f>B6-E9</x:f>
        <x:v>48</x:v>
      </x:c>
      <x:c r="F8" s="35"/>
      <x:c r="G8" s="35"/>
      <x:c r="H8" s="35"/>
    </x:row>
    <x:row r="9" ht="15" hidden="0" customHeight="1">
      <x:c r="A9" s="40" t="str">
        <x:v>Baseball-only</x:v>
      </x:c>
      <x:c r="B9" s="41" t="n">
        <x:f>COUNTIF('Team Leads'!$C$2:$C$200,"Baseball")</x:f>
        <x:v>22</x:v>
      </x:c>
      <x:c r="C9" s="35"/>
      <x:c r="D9" s="42" t="str">
        <x:v>Social/contact page only</x:v>
      </x:c>
      <x:c r="E9" s="43" t="n">
        <x:f>COUNTBLANK('Team Leads'!$J$2:$J$59)</x:f>
        <x:v>10</x:v>
      </x:c>
      <x:c r="F9" s="35"/>
      <x:c r="G9" s="35"/>
      <x:c r="H9" s="35"/>
    </x:row>
    <x:row r="10" ht="15" hidden="0" customHeight="1">
      <x:c r="A10" s="40" t="str">
        <x:v>Fastpitch-only</x:v>
      </x:c>
      <x:c r="B10" s="41" t="n">
        <x:f>COUNTIF('Team Leads'!$C$2:$C$200,"Fastpitch")</x:f>
        <x:v>28</x:v>
      </x:c>
      <x:c r="C10" s="35"/>
      <x:c r="D10" s="35"/>
      <x:c r="E10" s="35"/>
      <x:c r="F10" s="35"/>
      <x:c r="G10" s="35"/>
      <x:c r="H10" s="35"/>
    </x:row>
    <x:row r="11" ht="15" hidden="0" customHeight="1">
      <x:c r="A11" s="42" t="str">
        <x:v>Both sports</x:v>
      </x:c>
      <x:c r="B11" s="43" t="n">
        <x:f>COUNTIF('Team Leads'!$C$2:$C$200,"Both")</x:f>
        <x:v>8</x:v>
      </x:c>
      <x:c r="C11" s="35"/>
      <x:c r="D11" s="35"/>
      <x:c r="E11" s="35"/>
      <x:c r="F11" s="35"/>
      <x:c r="G11" s="35"/>
      <x:c r="H11" s="35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</x:row>
    <x:row r="14" ht="15.600000381469727" hidden="0" customHeight="1">
      <x:c r="A14" s="44" t="str">
        <x:v>How to use this workbook</x:v>
      </x:c>
      <x:c r="B14" s="44"/>
      <x:c r="C14" s="44"/>
      <x:c r="D14" s="44"/>
      <x:c r="E14" s="44"/>
      <x:c r="F14" s="44"/>
      <x:c r="G14" s="44"/>
      <x:c r="H14" s="44"/>
    </x:row>
    <x:row r="15" ht="15" hidden="0" customHeight="1">
      <x:c r="A15" s="45" t="str">
        <x:v>1. Filter Team Leads by State, Sport, Region, Priority, or Best Channel.</x:v>
      </x:c>
      <x:c r="B15" s="45"/>
      <x:c r="C15" s="45"/>
      <x:c r="D15" s="45"/>
      <x:c r="E15" s="45"/>
      <x:c r="F15" s="45"/>
      <x:c r="G15" s="45"/>
      <x:c r="H15" s="45"/>
    </x:row>
    <x:row r="16" ht="15" hidden="0" customHeight="1">
      <x:c r="A16" s="45" t="str">
        <x:v>2. Start with organization or role inboxes; personalize messages sent to individual coaches.</x:v>
      </x:c>
      <x:c r="B16" s="45"/>
      <x:c r="C16" s="45"/>
      <x:c r="D16" s="45"/>
      <x:c r="E16" s="45"/>
      <x:c r="F16" s="45"/>
      <x:c r="G16" s="45"/>
      <x:c r="H16" s="45"/>
    </x:row>
    <x:row r="17" ht="26.399999618530273" hidden="0" customHeight="1">
      <x:c r="A17" s="45" t="str">
        <x:v>3. Use the public source URL to confirm the contact before sending, especially rows marked Medium.</x:v>
      </x:c>
      <x:c r="B17" s="45"/>
      <x:c r="C17" s="45"/>
      <x:c r="D17" s="45"/>
      <x:c r="E17" s="45"/>
      <x:c r="F17" s="45"/>
      <x:c r="G17" s="45"/>
      <x:c r="H17" s="45"/>
    </x:row>
    <x:row r="18" ht="15" hidden="0" customHeight="1">
      <x:c r="A18" s="45" t="str">
        <x:v>4. Record outreach in the Status column to avoid repeat messages.</x:v>
      </x:c>
      <x:c r="B18" s="45"/>
      <x:c r="C18" s="45"/>
      <x:c r="D18" s="45"/>
      <x:c r="E18" s="45"/>
      <x:c r="F18" s="45"/>
      <x:c r="G18" s="45"/>
      <x:c r="H18" s="45"/>
    </x:row>
    <x:row r="19" ht="26.399999618530273" hidden="0" customHeight="1">
      <x:c r="A19" s="45" t="str">
        <x:v>5. Discovery Hubs can reach many additional teams or support partnership/sponsorship requests.</x:v>
      </x:c>
      <x:c r="B19" s="45"/>
      <x:c r="C19" s="45"/>
      <x:c r="D19" s="45"/>
      <x:c r="E19" s="45"/>
      <x:c r="F19" s="45"/>
      <x:c r="G19" s="45"/>
      <x:c r="H19" s="45"/>
    </x:row>
    <x:row r="20" ht="15" hidden="0" customHeight="1">
      <x:c r="A20" s="35"/>
      <x:c r="B20" s="35"/>
      <x:c r="C20" s="35"/>
      <x:c r="D20" s="35"/>
      <x:c r="E20" s="35"/>
      <x:c r="F20" s="35"/>
      <x:c r="G20" s="35"/>
      <x:c r="H20" s="35"/>
    </x:row>
    <x:row r="21" ht="15.600000381469727" hidden="0" customHeight="1">
      <x:c r="A21" s="46" t="str">
        <x:v>Responsible outreach notes</x:v>
      </x:c>
      <x:c r="B21" s="46"/>
      <x:c r="C21" s="46"/>
      <x:c r="D21" s="46"/>
      <x:c r="E21" s="46"/>
      <x:c r="F21" s="46"/>
      <x:c r="G21" s="46"/>
      <x:c r="H21" s="46"/>
    </x:row>
    <x:row r="22" ht="26.399999618530273" hidden="0" customHeight="1">
      <x:c r="A22" s="47" t="str">
        <x:v>• These are public organization/team contacts, not a private USSSA database or password-protected coach list.</x:v>
      </x:c>
      <x:c r="B22" s="47"/>
      <x:c r="C22" s="47"/>
      <x:c r="D22" s="47"/>
      <x:c r="E22" s="47"/>
      <x:c r="F22" s="47"/>
      <x:c r="G22" s="47"/>
      <x:c r="H22" s="47"/>
    </x:row>
    <x:row r="23" ht="26.399999618530273" hidden="0" customHeight="1">
      <x:c r="A23" s="47" t="str">
        <x:v>• Keep email targeted and relevant; avoid blasting duplicate contacts across teams in the same organization.</x:v>
      </x:c>
      <x:c r="B23" s="47"/>
      <x:c r="C23" s="47"/>
      <x:c r="D23" s="47"/>
      <x:c r="E23" s="47"/>
      <x:c r="F23" s="47"/>
      <x:c r="G23" s="47"/>
      <x:c r="H23" s="47"/>
    </x:row>
    <x:row r="24" ht="39.599998474121094" hidden="0" customHeight="1">
      <x:c r="A24" s="47" t="str">
        <x:v>• For commercial email, use accurate sender information and subject lines, clearly identify the promotion, include a valid postal address and an easy opt-out, and honor opt-outs promptly.</x:v>
      </x:c>
      <x:c r="B24" s="47"/>
      <x:c r="C24" s="47"/>
      <x:c r="D24" s="47"/>
      <x:c r="E24" s="47"/>
      <x:c r="F24" s="47"/>
      <x:c r="G24" s="47"/>
      <x:c r="H24" s="47"/>
    </x:row>
    <x:row r="25" ht="26.399999618530273" hidden="0" customHeight="1">
      <x:c r="A25" s="47" t="str">
        <x:v>• FTC guidance says CAN-SPAM covers commercial email, including business-to-business messages.</x:v>
      </x:c>
      <x:c r="B25" s="47"/>
      <x:c r="C25" s="47"/>
      <x:c r="D25" s="47"/>
      <x:c r="E25" s="47"/>
      <x:c r="F25" s="47"/>
      <x:c r="G25" s="47"/>
      <x:c r="H25" s="47"/>
    </x:row>
    <x:row r="26" ht="26.399999618530273" hidden="0" customHeight="1">
      <x:c r="A26" s="47" t="str">
        <x:v>• For Facebook/Instagram/X, follow each page or group’s promotional and direct-message rules.</x:v>
      </x:c>
      <x:c r="B26" s="47"/>
      <x:c r="C26" s="47"/>
      <x:c r="D26" s="47"/>
      <x:c r="E26" s="47"/>
      <x:c r="F26" s="47"/>
      <x:c r="G26" s="47"/>
      <x:c r="H26" s="47"/>
    </x:row>
    <x:row r="27" ht="39.599998474121094" hidden="0" customHeight="1">
      <x:c r="A27" s="47" t="str">
        <x:v>FTC guidance: https://www.ftc.gov/business-guidance/resources/can-spam-act-compliance-guide-business</x:v>
      </x:c>
      <x:c r="B27" s="47"/>
      <x:c r="C27" s="47"/>
      <x:c r="D27" s="47"/>
      <x:c r="E27" s="47"/>
      <x:c r="F27" s="47"/>
      <x:c r="G27" s="47"/>
      <x:c r="H27" s="47"/>
    </x:row>
  </x:sheetData>
  <x:mergeCells>
    <x:mergeCell ref="A1:H2"/>
    <x:mergeCell ref="A3:H3"/>
    <x:mergeCell ref="A14:H14"/>
    <x:mergeCell ref="A15:H15"/>
    <x:mergeCell ref="A16:H16"/>
    <x:mergeCell ref="A17:H17"/>
    <x:mergeCell ref="A18:H18"/>
    <x:mergeCell ref="A19:H19"/>
    <x:mergeCell ref="A21:H21"/>
    <x:mergeCell ref="A22:H22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8" hidden="0" customWidth="1"/>
    <x:col min="5" max="5" width="20" hidden="0" customWidth="1"/>
    <x:col min="6" max="6" width="23" hidden="0" customWidth="1"/>
    <x:col min="7" max="7" width="15" hidden="0" customWidth="1"/>
    <x:col min="8" max="8" width="20" hidden="0" customWidth="1"/>
    <x:col min="9" max="9" width="18" hidden="0" customWidth="1"/>
    <x:col min="10" max="10" width="31" hidden="0" customWidth="1"/>
    <x:col min="11" max="11" width="17" hidden="0" customWidth="1"/>
    <x:col min="12" max="12" width="19" hidden="0" customWidth="1"/>
    <x:col min="13" max="13" width="43" hidden="0" customWidth="1"/>
    <x:col min="14" max="14" width="38" hidden="0" customWidth="1"/>
    <x:col min="15" max="15" width="38" hidden="0" customWidth="1"/>
    <x:col min="16" max="16" width="30" hidden="0" customWidth="1"/>
    <x:col min="17" max="17" width="31" hidden="0" customWidth="1"/>
    <x:col min="18" max="18" width="10" hidden="0" customWidth="1"/>
    <x:col min="19" max="19" width="12" hidden="0" customWidth="1"/>
    <x:col min="20" max="20" width="16" hidden="0" customWidth="1"/>
    <x:col min="21" max="21" width="38" hidden="0" customWidth="1"/>
  </x:cols>
  <x:sheetData>
    <x:row r="1" ht="15" hidden="0" customHeight="1">
      <x:c r="A1" s="48" t="str">
        <x:v>Lead ID</x:v>
      </x:c>
      <x:c r="B1" s="48" t="str">
        <x:v>Organization / Team</x:v>
      </x:c>
      <x:c r="C1" s="48" t="str">
        <x:v>Sport</x:v>
      </x:c>
      <x:c r="D1" s="48" t="str">
        <x:v>State</x:v>
      </x:c>
      <x:c r="E1" s="48" t="str">
        <x:v>City / Area</x:v>
      </x:c>
      <x:c r="F1" s="48" t="str">
        <x:v>Region</x:v>
      </x:c>
      <x:c r="G1" s="48" t="str">
        <x:v>Age Groups</x:v>
      </x:c>
      <x:c r="H1" s="48" t="str">
        <x:v>Contact</x:v>
      </x:c>
      <x:c r="I1" s="48" t="str">
        <x:v>Contact Role</x:v>
      </x:c>
      <x:c r="J1" s="48" t="str">
        <x:v>Public Email</x:v>
      </x:c>
      <x:c r="K1" s="48" t="str">
        <x:v>Email Type</x:v>
      </x:c>
      <x:c r="L1" s="48" t="str">
        <x:v>Best Channel</x:v>
      </x:c>
      <x:c r="M1" s="48" t="str">
        <x:v>Official / Contact Page</x:v>
      </x:c>
      <x:c r="N1" s="48" t="str">
        <x:v>Facebook</x:v>
      </x:c>
      <x:c r="O1" s="48" t="str">
        <x:v>Instagram</x:v>
      </x:c>
      <x:c r="P1" s="48" t="str">
        <x:v>X</x:v>
      </x:c>
      <x:c r="Q1" s="48" t="str">
        <x:v>Freshness Evidence</x:v>
      </x:c>
      <x:c r="R1" s="48" t="str">
        <x:v>Priority</x:v>
      </x:c>
      <x:c r="S1" s="48" t="str">
        <x:v>Checked</x:v>
      </x:c>
      <x:c r="T1" s="48" t="str">
        <x:v>Status</x:v>
      </x:c>
      <x:c r="U1" s="48" t="str">
        <x:v>Notes</x:v>
      </x:c>
    </x:row>
    <x:row r="2" ht="42" hidden="0" customHeight="1">
      <x:c r="A2" s="49" t="n">
        <x:v>1</x:v>
      </x:c>
      <x:c r="B2" s="50" t="str">
        <x:v>Lake County Lightning Baseball</x:v>
      </x:c>
      <x:c r="C2" s="50" t="str">
        <x:v>Baseball</x:v>
      </x:c>
      <x:c r="D2" s="50" t="str">
        <x:v>IL</x:v>
      </x:c>
      <x:c r="E2" s="50" t="str">
        <x:v>Mundelein / Grayslake</x:v>
      </x:c>
      <x:c r="F2" s="50" t="str">
        <x:v>Chicago / North Suburbs</x:v>
      </x:c>
      <x:c r="G2" s="50" t="str">
        <x:v>8U-18U</x:v>
      </x:c>
      <x:c r="H2" s="50" t="str">
        <x:v>Jeremy Lutz</x:v>
      </x:c>
      <x:c r="I2" s="50" t="str">
        <x:v>Director</x:v>
      </x:c>
      <x:c r="J2" s="50" t="str">
        <x:v>info@illinoislightningbaseball.com</x:v>
      </x:c>
      <x:c r="K2" s="50" t="str">
        <x:v>Role inbox</x:v>
      </x:c>
      <x:c r="L2" s="50" t="str">
        <x:v>Email</x:v>
      </x:c>
      <x:c r="M2" s="50" t="str">
        <x:v>https://lakecountylightning.com/contact/</x:v>
      </x:c>
      <x:c r="N2" s="50" t="str">
        <x:v>https://www.facebook.com/illinoislightningbaseball/</x:v>
      </x:c>
      <x:c r="O2" s="50" t="str">
        <x:v>https://www.instagram.com/illinois_lightning/</x:v>
      </x:c>
      <x:c r="P2" s="50" t="str">
        <x:v>https://twitter.com/ILlightning</x:v>
      </x:c>
      <x:c r="Q2" s="50" t="str">
        <x:v>2026-27 program and tryouts active</x:v>
      </x:c>
      <x:c r="R2" s="50" t="str">
        <x:v>High</x:v>
      </x:c>
      <x:c r="S2" s="51" t="str">
        <x:v>2026-08-24</x:v>
      </x:c>
      <x:c r="T2" s="50" t="str">
        <x:v>Not contacted</x:v>
      </x:c>
      <x:c r="U2" s="50" t="str">
        <x:v>Current official contact page</x:v>
      </x:c>
    </x:row>
    <x:row r="3" ht="42" hidden="0" customHeight="1">
      <x:c r="A3" s="49" t="n">
        <x:v>2</x:v>
      </x:c>
      <x:c r="B3" s="50" t="str">
        <x:v>Illinois Lightning Softball</x:v>
      </x:c>
      <x:c r="C3" s="50" t="str">
        <x:v>Fastpitch</x:v>
      </x:c>
      <x:c r="D3" s="50" t="str">
        <x:v>IL</x:v>
      </x:c>
      <x:c r="E3" s="50" t="str">
        <x:v>Lake County</x:v>
      </x:c>
      <x:c r="F3" s="50" t="str">
        <x:v>Chicago / North Suburbs</x:v>
      </x:c>
      <x:c r="G3" s="50" t="str">
        <x:v>9U-18U</x:v>
      </x:c>
      <x:c r="H3" s="50" t="str">
        <x:v>Kurt Hironimus</x:v>
      </x:c>
      <x:c r="I3" s="50" t="str">
        <x:v>Director</x:v>
      </x:c>
      <x:c r="J3" s="50" t="str"/>
      <x:c r="K3" s="50" t="str">
        <x:v>Contact page</x:v>
      </x:c>
      <x:c r="L3" s="50" t="str">
        <x:v>Instagram / Facebook DM</x:v>
      </x:c>
      <x:c r="M3" s="50" t="str">
        <x:v>https://lakecountylightning.com/contact/</x:v>
      </x:c>
      <x:c r="N3" s="50" t="str">
        <x:v>https://www.facebook.com/IlLightning</x:v>
      </x:c>
      <x:c r="O3" s="50" t="str">
        <x:v>https://www.instagram.com/illinois_lightning_softball/</x:v>
      </x:c>
      <x:c r="P3" s="50" t="str">
        <x:v>https://twitter.com/softball_il</x:v>
      </x:c>
      <x:c r="Q3" s="50" t="str">
        <x:v>2026-27 program and tryouts active</x:v>
      </x:c>
      <x:c r="R3" s="50" t="str">
        <x:v>High</x:v>
      </x:c>
      <x:c r="S3" s="51" t="str">
        <x:v>2026-08-24</x:v>
      </x:c>
      <x:c r="T3" s="50" t="str">
        <x:v>Not contacted</x:v>
      </x:c>
      <x:c r="U3" s="50" t="str">
        <x:v>Official social links published on contact page</x:v>
      </x:c>
    </x:row>
    <x:row r="4" ht="42" hidden="0" customHeight="1">
      <x:c r="A4" s="49" t="n">
        <x:v>3</x:v>
      </x:c>
      <x:c r="B4" s="50" t="str">
        <x:v>Tier 1 Elite Baseball</x:v>
      </x:c>
      <x:c r="C4" s="50" t="str">
        <x:v>Baseball</x:v>
      </x:c>
      <x:c r="D4" s="50" t="str">
        <x:v>IL</x:v>
      </x:c>
      <x:c r="E4" s="50" t="str">
        <x:v>Elgin</x:v>
      </x:c>
      <x:c r="F4" s="50" t="str">
        <x:v>Fox Valley / Northwest</x:v>
      </x:c>
      <x:c r="G4" s="50" t="str">
        <x:v>14U-18U</x:v>
      </x:c>
      <x:c r="H4" s="50" t="str">
        <x:v>Organization</x:v>
      </x:c>
      <x:c r="I4" s="50" t="str">
        <x:v>Tryouts</x:v>
      </x:c>
      <x:c r="J4" s="50" t="str">
        <x:v>tier1elitebaseball@gmail.com</x:v>
      </x:c>
      <x:c r="K4" s="50" t="str">
        <x:v>Organization inbox</x:v>
      </x:c>
      <x:c r="L4" s="50" t="str">
        <x:v>Email</x:v>
      </x:c>
      <x:c r="M4" s="50" t="str">
        <x:v>https://www.tier1elite.com/tryouts</x:v>
      </x:c>
      <x:c r="N4" s="50" t="str"/>
      <x:c r="O4" s="50" t="str"/>
      <x:c r="P4" s="50" t="str"/>
      <x:c r="Q4" s="50" t="str">
        <x:v>2027 tryouts posted</x:v>
      </x:c>
      <x:c r="R4" s="50" t="str">
        <x:v>High</x:v>
      </x:c>
      <x:c r="S4" s="51" t="str">
        <x:v>2026-08-24</x:v>
      </x:c>
      <x:c r="T4" s="50" t="str">
        <x:v>Not contacted</x:v>
      </x:c>
      <x:c r="U4" s="50" t="str">
        <x:v>Private-tryout contact is public</x:v>
      </x:c>
    </x:row>
    <x:row r="5" ht="42" hidden="0" customHeight="1">
      <x:c r="A5" s="49" t="n">
        <x:v>4</x:v>
      </x:c>
      <x:c r="B5" s="50" t="str">
        <x:v>Frankfort Force</x:v>
      </x:c>
      <x:c r="C5" s="50" t="str">
        <x:v>Baseball</x:v>
      </x:c>
      <x:c r="D5" s="50" t="str">
        <x:v>IL</x:v>
      </x:c>
      <x:c r="E5" s="50" t="str">
        <x:v>Frankfort</x:v>
      </x:c>
      <x:c r="F5" s="50" t="str">
        <x:v>Southwest Suburbs</x:v>
      </x:c>
      <x:c r="G5" s="50" t="str">
        <x:v>8U-15U</x:v>
      </x:c>
      <x:c r="H5" s="50" t="str">
        <x:v>Joe Wodark</x:v>
      </x:c>
      <x:c r="I5" s="50" t="str">
        <x:v>Travel Director</x:v>
      </x:c>
      <x:c r="J5" s="50" t="str">
        <x:v>travelballdirector@frankfortbaseball.com</x:v>
      </x:c>
      <x:c r="K5" s="50" t="str">
        <x:v>Role inbox</x:v>
      </x:c>
      <x:c r="L5" s="50" t="str">
        <x:v>Email</x:v>
      </x:c>
      <x:c r="M5" s="50" t="str">
        <x:v>https://www.frankfortbaseball.com/Default.aspx?tabid=1709802</x:v>
      </x:c>
      <x:c r="N5" s="50" t="str"/>
      <x:c r="O5" s="50" t="str"/>
      <x:c r="P5" s="50" t="str"/>
      <x:c r="Q5" s="50" t="str">
        <x:v>2027 tryouts posted</x:v>
      </x:c>
      <x:c r="R5" s="50" t="str">
        <x:v>High</x:v>
      </x:c>
      <x:c r="S5" s="51" t="str">
        <x:v>2026-08-24</x:v>
      </x:c>
      <x:c r="T5" s="50" t="str">
        <x:v>Not contacted</x:v>
      </x:c>
      <x:c r="U5" s="50" t="str">
        <x:v>Organization travel director</x:v>
      </x:c>
    </x:row>
    <x:row r="6" ht="42" hidden="0" customHeight="1">
      <x:c r="A6" s="49" t="n">
        <x:v>5</x:v>
      </x:c>
      <x:c r="B6" s="50" t="str">
        <x:v>Deerfield Travel Baseball</x:v>
      </x:c>
      <x:c r="C6" s="50" t="str">
        <x:v>Baseball</x:v>
      </x:c>
      <x:c r="D6" s="50" t="str">
        <x:v>IL</x:v>
      </x:c>
      <x:c r="E6" s="50" t="str">
        <x:v>Deerfield</x:v>
      </x:c>
      <x:c r="F6" s="50" t="str">
        <x:v>Chicago / North Suburbs</x:v>
      </x:c>
      <x:c r="G6" s="50" t="str">
        <x:v>8U-14U</x:v>
      </x:c>
      <x:c r="H6" s="50" t="str">
        <x:v>Travel Baseball</x:v>
      </x:c>
      <x:c r="I6" s="50" t="str">
        <x:v>Program</x:v>
      </x:c>
      <x:c r="J6" s="50" t="str">
        <x:v>travel.baseball@dyba.com</x:v>
      </x:c>
      <x:c r="K6" s="50" t="str">
        <x:v>Role inbox</x:v>
      </x:c>
      <x:c r="L6" s="50" t="str">
        <x:v>Email</x:v>
      </x:c>
      <x:c r="M6" s="50" t="str">
        <x:v>https://www.dyba.com/page/show/7805686-travel-baseball-2023-</x:v>
      </x:c>
      <x:c r="N6" s="50" t="str"/>
      <x:c r="O6" s="50" t="str"/>
      <x:c r="P6" s="50" t="str"/>
      <x:c r="Q6" s="50" t="str">
        <x:v>2027 tryouts posted</x:v>
      </x:c>
      <x:c r="R6" s="50" t="str">
        <x:v>High</x:v>
      </x:c>
      <x:c r="S6" s="51" t="str">
        <x:v>2026-08-24</x:v>
      </x:c>
      <x:c r="T6" s="50" t="str">
        <x:v>Not contacted</x:v>
      </x:c>
      <x:c r="U6" s="50" t="str">
        <x:v>Role-based travel email</x:v>
      </x:c>
    </x:row>
    <x:row r="7" ht="42" hidden="0" customHeight="1">
      <x:c r="A7" s="49" t="n">
        <x:v>6</x:v>
      </x:c>
      <x:c r="B7" s="50" t="str">
        <x:v>Lincoln-Way Blue Demons</x:v>
      </x:c>
      <x:c r="C7" s="50" t="str">
        <x:v>Baseball</x:v>
      </x:c>
      <x:c r="D7" s="50" t="str">
        <x:v>IL</x:v>
      </x:c>
      <x:c r="E7" s="50" t="str">
        <x:v>Mokena / New Lenox</x:v>
      </x:c>
      <x:c r="F7" s="50" t="str">
        <x:v>Southwest Suburbs</x:v>
      </x:c>
      <x:c r="G7" s="50" t="str">
        <x:v>Multiple youth</x:v>
      </x:c>
      <x:c r="H7" s="50" t="str">
        <x:v>Frank Lacny</x:v>
      </x:c>
      <x:c r="I7" s="50" t="str">
        <x:v>Organization contact</x:v>
      </x:c>
      <x:c r="J7" s="50" t="str">
        <x:v>flacny@lwbluedemons.org</x:v>
      </x:c>
      <x:c r="K7" s="50" t="str">
        <x:v>Director email</x:v>
      </x:c>
      <x:c r="L7" s="50" t="str">
        <x:v>Email</x:v>
      </x:c>
      <x:c r="M7" s="50" t="str">
        <x:v>https://www.lwbluedemons.org/</x:v>
      </x:c>
      <x:c r="N7" s="50" t="str"/>
      <x:c r="O7" s="50" t="str"/>
      <x:c r="P7" s="50" t="str"/>
      <x:c r="Q7" s="50" t="str">
        <x:v>2027 teams and tryouts posted</x:v>
      </x:c>
      <x:c r="R7" s="50" t="str">
        <x:v>High</x:v>
      </x:c>
      <x:c r="S7" s="51" t="str">
        <x:v>2026-08-24</x:v>
      </x:c>
      <x:c r="T7" s="50" t="str">
        <x:v>Not contacted</x:v>
      </x:c>
      <x:c r="U7" s="50" t="str">
        <x:v>Current organization contact</x:v>
      </x:c>
    </x:row>
    <x:row r="8" ht="42" hidden="0" customHeight="1">
      <x:c r="A8" s="49" t="n">
        <x:v>7</x:v>
      </x:c>
      <x:c r="B8" s="50" t="str">
        <x:v>Cary Trojans</x:v>
      </x:c>
      <x:c r="C8" s="50" t="str">
        <x:v>Baseball</x:v>
      </x:c>
      <x:c r="D8" s="50" t="str">
        <x:v>IL</x:v>
      </x:c>
      <x:c r="E8" s="50" t="str">
        <x:v>Cary</x:v>
      </x:c>
      <x:c r="F8" s="50" t="str">
        <x:v>Northwest Suburbs</x:v>
      </x:c>
      <x:c r="G8" s="50" t="str">
        <x:v>Multiple youth</x:v>
      </x:c>
      <x:c r="H8" s="50" t="str">
        <x:v>Kyle Frangiamore</x:v>
      </x:c>
      <x:c r="I8" s="50" t="str">
        <x:v>Travel Director</x:v>
      </x:c>
      <x:c r="J8" s="50" t="str">
        <x:v>traveldirector@cgybs.org</x:v>
      </x:c>
      <x:c r="K8" s="50" t="str">
        <x:v>Role inbox</x:v>
      </x:c>
      <x:c r="L8" s="50" t="str">
        <x:v>Email</x:v>
      </x:c>
      <x:c r="M8" s="50" t="str">
        <x:v>https://trojansbaseballandsoftball.com/tryouts/</x:v>
      </x:c>
      <x:c r="N8" s="50" t="str"/>
      <x:c r="O8" s="50" t="str"/>
      <x:c r="P8" s="50" t="str"/>
      <x:c r="Q8" s="50" t="str">
        <x:v>2026-27 tryouts posted</x:v>
      </x:c>
      <x:c r="R8" s="50" t="str">
        <x:v>High</x:v>
      </x:c>
      <x:c r="S8" s="51" t="str">
        <x:v>2026-08-24</x:v>
      </x:c>
      <x:c r="T8" s="50" t="str">
        <x:v>Not contacted</x:v>
      </x:c>
      <x:c r="U8" s="50" t="str">
        <x:v>Program seeks additional teams/coaches</x:v>
      </x:c>
    </x:row>
    <x:row r="9" ht="42" hidden="0" customHeight="1">
      <x:c r="A9" s="49" t="n">
        <x:v>8</x:v>
      </x:c>
      <x:c r="B9" s="50" t="str">
        <x:v>Washington Youth Travel Baseball</x:v>
      </x:c>
      <x:c r="C9" s="50" t="str">
        <x:v>Baseball</x:v>
      </x:c>
      <x:c r="D9" s="50" t="str">
        <x:v>IL</x:v>
      </x:c>
      <x:c r="E9" s="50" t="str">
        <x:v>Washington</x:v>
      </x:c>
      <x:c r="F9" s="50" t="str">
        <x:v>Central Illinois</x:v>
      </x:c>
      <x:c r="G9" s="50" t="str">
        <x:v>7U-17U</x:v>
      </x:c>
      <x:c r="H9" s="50" t="str">
        <x:v>WYTB Committee</x:v>
      </x:c>
      <x:c r="I9" s="50" t="str">
        <x:v>Program</x:v>
      </x:c>
      <x:c r="J9" s="50" t="str">
        <x:v>wytb@washingtontravelbaseball.com</x:v>
      </x:c>
      <x:c r="K9" s="50" t="str">
        <x:v>Role inbox</x:v>
      </x:c>
      <x:c r="L9" s="50" t="str">
        <x:v>Email</x:v>
      </x:c>
      <x:c r="M9" s="50" t="str">
        <x:v>https://washingtontravelbaseball.com/</x:v>
      </x:c>
      <x:c r="N9" s="50" t="str"/>
      <x:c r="O9" s="50" t="str"/>
      <x:c r="P9" s="50" t="str"/>
      <x:c r="Q9" s="50" t="str">
        <x:v>2027 tryouts posted</x:v>
      </x:c>
      <x:c r="R9" s="50" t="str">
        <x:v>High</x:v>
      </x:c>
      <x:c r="S9" s="51" t="str">
        <x:v>2026-08-24</x:v>
      </x:c>
      <x:c r="T9" s="50" t="str">
        <x:v>Not contacted</x:v>
      </x:c>
      <x:c r="U9" s="50" t="str">
        <x:v>Organization-wide inbox</x:v>
      </x:c>
    </x:row>
    <x:row r="10" ht="42" hidden="0" customHeight="1">
      <x:c r="A10" s="49" t="n">
        <x:v>9</x:v>
      </x:c>
      <x:c r="B10" s="50" t="str">
        <x:v>USA Prime Northern Illinois</x:v>
      </x:c>
      <x:c r="C10" s="50" t="str">
        <x:v>Both</x:v>
      </x:c>
      <x:c r="D10" s="50" t="str">
        <x:v>IL</x:v>
      </x:c>
      <x:c r="E10" s="50" t="str">
        <x:v>South Elgin</x:v>
      </x:c>
      <x:c r="F10" s="50" t="str">
        <x:v>Fox Valley / Northwest</x:v>
      </x:c>
      <x:c r="G10" s="50" t="str">
        <x:v>9U-18U</x:v>
      </x:c>
      <x:c r="H10" s="50" t="str">
        <x:v>Todd Lambel</x:v>
      </x:c>
      <x:c r="I10" s="50" t="str">
        <x:v>Program contact</x:v>
      </x:c>
      <x:c r="J10" s="50" t="str">
        <x:v>todd@usaprimeni.com</x:v>
      </x:c>
      <x:c r="K10" s="50" t="str">
        <x:v>Director email</x:v>
      </x:c>
      <x:c r="L10" s="50" t="str">
        <x:v>Email</x:v>
      </x:c>
      <x:c r="M10" s="50" t="str">
        <x:v>https://www.usaprimeni.com/tryouts</x:v>
      </x:c>
      <x:c r="N10" s="50" t="str"/>
      <x:c r="O10" s="50" t="str"/>
      <x:c r="P10" s="50" t="str"/>
      <x:c r="Q10" s="50" t="str">
        <x:v>2027 baseball and softball tryouts posted</x:v>
      </x:c>
      <x:c r="R10" s="50" t="str">
        <x:v>High</x:v>
      </x:c>
      <x:c r="S10" s="51" t="str">
        <x:v>2026-08-24</x:v>
      </x:c>
      <x:c r="T10" s="50" t="str">
        <x:v>Not contacted</x:v>
      </x:c>
      <x:c r="U10" s="50" t="str">
        <x:v>One contact reaches baseball and softball</x:v>
      </x:c>
    </x:row>
    <x:row r="11" ht="42" hidden="0" customHeight="1">
      <x:c r="A11" s="49" t="n">
        <x:v>10</x:v>
      </x:c>
      <x:c r="B11" s="50" t="str">
        <x:v>Vernon Hills Travel Baseball</x:v>
      </x:c>
      <x:c r="C11" s="50" t="str">
        <x:v>Baseball</x:v>
      </x:c>
      <x:c r="D11" s="50" t="str">
        <x:v>IL</x:v>
      </x:c>
      <x:c r="E11" s="50" t="str">
        <x:v>Vernon Hills</x:v>
      </x:c>
      <x:c r="F11" s="50" t="str">
        <x:v>Chicago / North Suburbs</x:v>
      </x:c>
      <x:c r="G11" s="50" t="str">
        <x:v>8U-14U</x:v>
      </x:c>
      <x:c r="H11" s="50" t="str">
        <x:v>Travel Baseball</x:v>
      </x:c>
      <x:c r="I11" s="50" t="str">
        <x:v>Program</x:v>
      </x:c>
      <x:c r="J11" s="50" t="str">
        <x:v>travel_baseball@vhcbs.com</x:v>
      </x:c>
      <x:c r="K11" s="50" t="str">
        <x:v>Role inbox</x:v>
      </x:c>
      <x:c r="L11" s="50" t="str">
        <x:v>Email</x:v>
      </x:c>
      <x:c r="M11" s="50" t="str">
        <x:v>https://www.vhcbs.org/program/travel-baseball/18032</x:v>
      </x:c>
      <x:c r="N11" s="50" t="str"/>
      <x:c r="O11" s="50" t="str"/>
      <x:c r="P11" s="50" t="str"/>
      <x:c r="Q11" s="50" t="str">
        <x:v>2027 tryouts posted</x:v>
      </x:c>
      <x:c r="R11" s="50" t="str">
        <x:v>High</x:v>
      </x:c>
      <x:c r="S11" s="51" t="str">
        <x:v>2026-08-24</x:v>
      </x:c>
      <x:c r="T11" s="50" t="str">
        <x:v>Not contacted</x:v>
      </x:c>
      <x:c r="U11" s="50" t="str">
        <x:v>Role-based travel email</x:v>
      </x:c>
    </x:row>
    <x:row r="12" ht="42" hidden="0" customHeight="1">
      <x:c r="A12" s="49" t="n">
        <x:v>11</x:v>
      </x:c>
      <x:c r="B12" s="50" t="str">
        <x:v>Skokie Coyotes</x:v>
      </x:c>
      <x:c r="C12" s="50" t="str">
        <x:v>Baseball</x:v>
      </x:c>
      <x:c r="D12" s="50" t="str">
        <x:v>IL</x:v>
      </x:c>
      <x:c r="E12" s="50" t="str">
        <x:v>Skokie</x:v>
      </x:c>
      <x:c r="F12" s="50" t="str">
        <x:v>Chicago / North Suburbs</x:v>
      </x:c>
      <x:c r="G12" s="50" t="str">
        <x:v>8U-14U</x:v>
      </x:c>
      <x:c r="H12" s="50" t="str">
        <x:v>Chris Librando</x:v>
      </x:c>
      <x:c r="I12" s="50" t="str">
        <x:v>Travel Director</x:v>
      </x:c>
      <x:c r="J12" s="50" t="str">
        <x:v>chrislibrando@gmail.com</x:v>
      </x:c>
      <x:c r="K12" s="50" t="str">
        <x:v>Director email</x:v>
      </x:c>
      <x:c r="L12" s="50" t="str">
        <x:v>Email</x:v>
      </x:c>
      <x:c r="M12" s="50" t="str">
        <x:v>https://skokiebaseballandsoftball.com/2025/06/28/coyotes-travel-baseball-tryouts-2026-season/</x:v>
      </x:c>
      <x:c r="N12" s="50" t="str"/>
      <x:c r="O12" s="50" t="str"/>
      <x:c r="P12" s="50" t="str"/>
      <x:c r="Q12" s="50" t="str">
        <x:v>2026 program verified; page current in 2026</x:v>
      </x:c>
      <x:c r="R12" s="50" t="str">
        <x:v>Medium</x:v>
      </x:c>
      <x:c r="S12" s="51" t="str">
        <x:v>2026-08-24</x:v>
      </x:c>
      <x:c r="T12" s="50" t="str">
        <x:v>Not contacted</x:v>
      </x:c>
      <x:c r="U12" s="50" t="str">
        <x:v>General inbox also: skokiebaseballandsoftball@gmail.com</x:v>
      </x:c>
    </x:row>
    <x:row r="13" ht="42" hidden="0" customHeight="1">
      <x:c r="A13" s="49" t="n">
        <x:v>12</x:v>
      </x:c>
      <x:c r="B13" s="50" t="str">
        <x:v>Hamlin Park Travel</x:v>
      </x:c>
      <x:c r="C13" s="50" t="str">
        <x:v>Both</x:v>
      </x:c>
      <x:c r="D13" s="50" t="str">
        <x:v>IL</x:v>
      </x:c>
      <x:c r="E13" s="50" t="str">
        <x:v>Chicago</x:v>
      </x:c>
      <x:c r="F13" s="50" t="str">
        <x:v>Chicago</x:v>
      </x:c>
      <x:c r="G13" s="50" t="str">
        <x:v>8U-14U</x:v>
      </x:c>
      <x:c r="H13" s="50" t="str">
        <x:v>Travel Teams</x:v>
      </x:c>
      <x:c r="I13" s="50" t="str">
        <x:v>Program</x:v>
      </x:c>
      <x:c r="J13" s="50" t="str">
        <x:v>travelteams@hamlinparkbaseball.org</x:v>
      </x:c>
      <x:c r="K13" s="50" t="str">
        <x:v>Role inbox</x:v>
      </x:c>
      <x:c r="L13" s="50" t="str">
        <x:v>Email</x:v>
      </x:c>
      <x:c r="M13" s="50" t="str">
        <x:v>https://www.hamlinparkbaseball.org/2027traveltryouts</x:v>
      </x:c>
      <x:c r="N13" s="50" t="str"/>
      <x:c r="O13" s="50" t="str"/>
      <x:c r="P13" s="50" t="str"/>
      <x:c r="Q13" s="50" t="str">
        <x:v>2027 baseball and softball tryouts posted</x:v>
      </x:c>
      <x:c r="R13" s="50" t="str">
        <x:v>High</x:v>
      </x:c>
      <x:c r="S13" s="51" t="str">
        <x:v>2026-08-24</x:v>
      </x:c>
      <x:c r="T13" s="50" t="str">
        <x:v>Not contacted</x:v>
      </x:c>
      <x:c r="U13" s="50" t="str">
        <x:v>One role inbox reaches both sports</x:v>
      </x:c>
    </x:row>
    <x:row r="14" ht="42" hidden="0" customHeight="1">
      <x:c r="A14" s="49" t="n">
        <x:v>13</x:v>
      </x:c>
      <x:c r="B14" s="50" t="str">
        <x:v>Christian Center Travel Baseball</x:v>
      </x:c>
      <x:c r="C14" s="50" t="str">
        <x:v>Baseball</x:v>
      </x:c>
      <x:c r="D14" s="50" t="str">
        <x:v>IL</x:v>
      </x:c>
      <x:c r="E14" s="50" t="str">
        <x:v>Peoria / East Peoria</x:v>
      </x:c>
      <x:c r="F14" s="50" t="str">
        <x:v>Central Illinois</x:v>
      </x:c>
      <x:c r="G14" s="50" t="str">
        <x:v>8U-17U</x:v>
      </x:c>
      <x:c r="H14" s="50" t="str">
        <x:v>Travel Baseball</x:v>
      </x:c>
      <x:c r="I14" s="50" t="str">
        <x:v>Program</x:v>
      </x:c>
      <x:c r="J14" s="50" t="str">
        <x:v>travelbaseball@thechristiancenter.cc</x:v>
      </x:c>
      <x:c r="K14" s="50" t="str">
        <x:v>Role inbox</x:v>
      </x:c>
      <x:c r="L14" s="50" t="str">
        <x:v>Email</x:v>
      </x:c>
      <x:c r="M14" s="50" t="str">
        <x:v>https://www.thechristiancenter.cc/registration/travel-baseball/</x:v>
      </x:c>
      <x:c r="N14" s="50" t="str"/>
      <x:c r="O14" s="50" t="str"/>
      <x:c r="P14" s="50" t="str"/>
      <x:c r="Q14" s="50" t="str">
        <x:v>2027 tryouts posted</x:v>
      </x:c>
      <x:c r="R14" s="50" t="str">
        <x:v>High</x:v>
      </x:c>
      <x:c r="S14" s="51" t="str">
        <x:v>2026-08-24</x:v>
      </x:c>
      <x:c r="T14" s="50" t="str">
        <x:v>Not contacted</x:v>
      </x:c>
      <x:c r="U14" s="50" t="str">
        <x:v>Central Illinois coverage</x:v>
      </x:c>
    </x:row>
    <x:row r="15" ht="42" hidden="0" customHeight="1">
      <x:c r="A15" s="49" t="n">
        <x:v>14</x:v>
      </x:c>
      <x:c r="B15" s="50" t="str">
        <x:v>Limestone Youth Baseball Travel</x:v>
      </x:c>
      <x:c r="C15" s="50" t="str">
        <x:v>Baseball</x:v>
      </x:c>
      <x:c r="D15" s="50" t="str">
        <x:v>IL</x:v>
      </x:c>
      <x:c r="E15" s="50" t="str">
        <x:v>Bartonville</x:v>
      </x:c>
      <x:c r="F15" s="50" t="str">
        <x:v>Central Illinois</x:v>
      </x:c>
      <x:c r="G15" s="50" t="str">
        <x:v>8U-15U</x:v>
      </x:c>
      <x:c r="H15" s="50" t="str">
        <x:v>Travel Program</x:v>
      </x:c>
      <x:c r="I15" s="50" t="str">
        <x:v>Program</x:v>
      </x:c>
      <x:c r="J15" s="50" t="str">
        <x:v>limestoneyouthbaseball@gmail.com</x:v>
      </x:c>
      <x:c r="K15" s="50" t="str">
        <x:v>Organization inbox</x:v>
      </x:c>
      <x:c r="L15" s="50" t="str">
        <x:v>Email</x:v>
      </x:c>
      <x:c r="M15" s="50" t="str">
        <x:v>https://www.limestoneyouthbaseball.org/travel-program</x:v>
      </x:c>
      <x:c r="N15" s="50" t="str">
        <x:v>https://www.facebook.com/limestoneyouthbaseball/</x:v>
      </x:c>
      <x:c r="O15" s="50" t="str"/>
      <x:c r="P15" s="50" t="str"/>
      <x:c r="Q15" s="50" t="str">
        <x:v>2027 tryouts posted</x:v>
      </x:c>
      <x:c r="R15" s="50" t="str">
        <x:v>High</x:v>
      </x:c>
      <x:c r="S15" s="51" t="str">
        <x:v>2026-08-24</x:v>
      </x:c>
      <x:c r="T15" s="50" t="str">
        <x:v>Not contacted</x:v>
      </x:c>
      <x:c r="U15" s="50" t="str">
        <x:v>Official page points to Facebook</x:v>
      </x:c>
    </x:row>
    <x:row r="16" ht="42" hidden="0" customHeight="1">
      <x:c r="A16" s="49" t="n">
        <x:v>15</x:v>
      </x:c>
      <x:c r="B16" s="50" t="str">
        <x:v>Rawlings Tigers Southern Illinois</x:v>
      </x:c>
      <x:c r="C16" s="50" t="str">
        <x:v>Both</x:v>
      </x:c>
      <x:c r="D16" s="50" t="str">
        <x:v>IL</x:v>
      </x:c>
      <x:c r="E16" s="50" t="str">
        <x:v>Southern Illinois</x:v>
      </x:c>
      <x:c r="F16" s="50" t="str">
        <x:v>Southern Illinois</x:v>
      </x:c>
      <x:c r="G16" s="50" t="str">
        <x:v>Multiple youth</x:v>
      </x:c>
      <x:c r="H16" s="50" t="str">
        <x:v>Area program</x:v>
      </x:c>
      <x:c r="I16" s="50" t="str">
        <x:v>Organization</x:v>
      </x:c>
      <x:c r="J16" s="50" t="str"/>
      <x:c r="K16" s="50" t="str">
        <x:v>Official page / follow</x:v>
      </x:c>
      <x:c r="L16" s="50" t="str">
        <x:v>Website contact</x:v>
      </x:c>
      <x:c r="M16" s="50" t="str">
        <x:v>https://www.rawlingstigers.com/teams/illinois/southern-illinois</x:v>
      </x:c>
      <x:c r="N16" s="50" t="str"/>
      <x:c r="O16" s="50" t="str"/>
      <x:c r="P16" s="50" t="str"/>
      <x:c r="Q16" s="50" t="str">
        <x:v>2027 teams and openings posted</x:v>
      </x:c>
      <x:c r="R16" s="50" t="str">
        <x:v>High</x:v>
      </x:c>
      <x:c r="S16" s="51" t="str">
        <x:v>2026-08-24</x:v>
      </x:c>
      <x:c r="T16" s="50" t="str">
        <x:v>Not contacted</x:v>
      </x:c>
      <x:c r="U16" s="50" t="str">
        <x:v>Eight current teams shown; use area page</x:v>
      </x:c>
    </x:row>
    <x:row r="17" ht="42" hidden="0" customHeight="1">
      <x:c r="A17" s="49" t="n">
        <x:v>16</x:v>
      </x:c>
      <x:c r="B17" s="50" t="str">
        <x:v>Tinley Park Bulldogs</x:v>
      </x:c>
      <x:c r="C17" s="50" t="str">
        <x:v>Baseball</x:v>
      </x:c>
      <x:c r="D17" s="50" t="str">
        <x:v>IL</x:v>
      </x:c>
      <x:c r="E17" s="50" t="str">
        <x:v>Tinley Park</x:v>
      </x:c>
      <x:c r="F17" s="50" t="str">
        <x:v>South Suburbs</x:v>
      </x:c>
      <x:c r="G17" s="50" t="str">
        <x:v>8U-15U</x:v>
      </x:c>
      <x:c r="H17" s="50" t="str">
        <x:v>Glenn Kendall</x:v>
      </x:c>
      <x:c r="I17" s="50" t="str">
        <x:v>Assistant Travel Director</x:v>
      </x:c>
      <x:c r="J17" s="50" t="str">
        <x:v>gkbaseball4@gmail.com</x:v>
      </x:c>
      <x:c r="K17" s="50" t="str">
        <x:v>Director email</x:v>
      </x:c>
      <x:c r="L17" s="50" t="str">
        <x:v>Email</x:v>
      </x:c>
      <x:c r="M17" s="50" t="str">
        <x:v>https://www.tinleyparkbulldogsbaseball.com/bbtryouts</x:v>
      </x:c>
      <x:c r="N17" s="50" t="str"/>
      <x:c r="O17" s="50" t="str"/>
      <x:c r="P17" s="50" t="str"/>
      <x:c r="Q17" s="50" t="str">
        <x:v>2027 tryouts and openings posted</x:v>
      </x:c>
      <x:c r="R17" s="50" t="str">
        <x:v>High</x:v>
      </x:c>
      <x:c r="S17" s="51" t="str">
        <x:v>2026-08-24</x:v>
      </x:c>
      <x:c r="T17" s="50" t="str">
        <x:v>Not contacted</x:v>
      </x:c>
      <x:c r="U17" s="50" t="str">
        <x:v>Current travel director contact</x:v>
      </x:c>
    </x:row>
    <x:row r="18" ht="42" hidden="0" customHeight="1">
      <x:c r="A18" s="49" t="n">
        <x:v>17</x:v>
      </x:c>
      <x:c r="B18" s="50" t="str">
        <x:v>Roselle Rockers</x:v>
      </x:c>
      <x:c r="C18" s="50" t="str">
        <x:v>Fastpitch</x:v>
      </x:c>
      <x:c r="D18" s="50" t="str">
        <x:v>IL</x:v>
      </x:c>
      <x:c r="E18" s="50" t="str">
        <x:v>Roselle</x:v>
      </x:c>
      <x:c r="F18" s="50" t="str">
        <x:v>West / Northwest Suburbs</x:v>
      </x:c>
      <x:c r="G18" s="50" t="str">
        <x:v>10U-18U</x:v>
      </x:c>
      <x:c r="H18" s="50" t="str">
        <x:v>Al / Ray Kubalewski</x:v>
      </x:c>
      <x:c r="I18" s="50" t="str">
        <x:v>Travel Director</x:v>
      </x:c>
      <x:c r="J18" s="50" t="str">
        <x:v>raykubalewski@gmail.com</x:v>
      </x:c>
      <x:c r="K18" s="50" t="str">
        <x:v>Director email</x:v>
      </x:c>
      <x:c r="L18" s="50" t="str">
        <x:v>Email</x:v>
      </x:c>
      <x:c r="M18" s="50" t="str">
        <x:v>https://www.rockersfastpitch.com/</x:v>
      </x:c>
      <x:c r="N18" s="50" t="str"/>
      <x:c r="O18" s="50" t="str"/>
      <x:c r="P18" s="50" t="str"/>
      <x:c r="Q18" s="50" t="str">
        <x:v>2026-27 tryouts posted</x:v>
      </x:c>
      <x:c r="R18" s="50" t="str">
        <x:v>High</x:v>
      </x:c>
      <x:c r="S18" s="51" t="str">
        <x:v>2026-08-24</x:v>
      </x:c>
      <x:c r="T18" s="50" t="str">
        <x:v>Not contacted</x:v>
      </x:c>
      <x:c r="U18" s="50" t="str">
        <x:v>Director email public on official site</x:v>
      </x:c>
    </x:row>
    <x:row r="19" ht="42" hidden="0" customHeight="1">
      <x:c r="A19" s="49" t="n">
        <x:v>18</x:v>
      </x:c>
      <x:c r="B19" s="50" t="str">
        <x:v>Illinois Force Softball</x:v>
      </x:c>
      <x:c r="C19" s="50" t="str">
        <x:v>Fastpitch</x:v>
      </x:c>
      <x:c r="D19" s="50" t="str">
        <x:v>IL</x:v>
      </x:c>
      <x:c r="E19" s="50" t="str">
        <x:v>Southern Illinois</x:v>
      </x:c>
      <x:c r="F19" s="50" t="str">
        <x:v>Southern Illinois</x:v>
      </x:c>
      <x:c r="G19" s="50" t="str">
        <x:v>Multiple youth / HS</x:v>
      </x:c>
      <x:c r="H19" s="50" t="str">
        <x:v>Scott Hutchinson</x:v>
      </x:c>
      <x:c r="I19" s="50" t="str">
        <x:v>Owner</x:v>
      </x:c>
      <x:c r="J19" s="50" t="str">
        <x:v>scott.hutchinson@ilforce.com</x:v>
      </x:c>
      <x:c r="K19" s="50" t="str">
        <x:v>Director email</x:v>
      </x:c>
      <x:c r="L19" s="50" t="str">
        <x:v>Email</x:v>
      </x:c>
      <x:c r="M19" s="50" t="str">
        <x:v>https://ilforce.com/</x:v>
      </x:c>
      <x:c r="N19" s="50" t="str">
        <x:v>https://ilforce.com/?page_id=482</x:v>
      </x:c>
      <x:c r="O19" s="50" t="str"/>
      <x:c r="P19" s="50" t="str"/>
      <x:c r="Q19" s="50" t="str">
        <x:v>2026 results and 2027 tryout activity</x:v>
      </x:c>
      <x:c r="R19" s="50" t="str">
        <x:v>High</x:v>
      </x:c>
      <x:c r="S19" s="51" t="str">
        <x:v>2026-08-24</x:v>
      </x:c>
      <x:c r="T19" s="50" t="str">
        <x:v>Not contacted</x:v>
      </x:c>
      <x:c r="U19" s="50" t="str">
        <x:v>Media page links social channels</x:v>
      </x:c>
    </x:row>
    <x:row r="20" ht="42" hidden="0" customHeight="1">
      <x:c r="A20" s="49" t="n">
        <x:v>19</x:v>
      </x:c>
      <x:c r="B20" s="50" t="str">
        <x:v>Illinois Wave Fastpitch</x:v>
      </x:c>
      <x:c r="C20" s="50" t="str">
        <x:v>Fastpitch</x:v>
      </x:c>
      <x:c r="D20" s="50" t="str">
        <x:v>IL</x:v>
      </x:c>
      <x:c r="E20" s="50" t="str">
        <x:v>Gurnee / Warren Township</x:v>
      </x:c>
      <x:c r="F20" s="50" t="str">
        <x:v>Chicago / North Suburbs</x:v>
      </x:c>
      <x:c r="G20" s="50" t="str">
        <x:v>Multiple youth</x:v>
      </x:c>
      <x:c r="H20" s="50" t="str">
        <x:v>Travel Program</x:v>
      </x:c>
      <x:c r="I20" s="50" t="str">
        <x:v>Program</x:v>
      </x:c>
      <x:c r="J20" s="50" t="str">
        <x:v>travel@warrengirlssoftball.com</x:v>
      </x:c>
      <x:c r="K20" s="50" t="str">
        <x:v>Role inbox</x:v>
      </x:c>
      <x:c r="L20" s="50" t="str">
        <x:v>Email</x:v>
      </x:c>
      <x:c r="M20" s="50" t="str">
        <x:v>https://warrengirlssoftball.sportngin.com/register/form/441311187</x:v>
      </x:c>
      <x:c r="N20" s="50" t="str"/>
      <x:c r="O20" s="50" t="str"/>
      <x:c r="P20" s="50" t="str"/>
      <x:c r="Q20" s="50" t="str">
        <x:v>2026-27 tryouts posted</x:v>
      </x:c>
      <x:c r="R20" s="50" t="str">
        <x:v>High</x:v>
      </x:c>
      <x:c r="S20" s="51" t="str">
        <x:v>2026-08-24</x:v>
      </x:c>
      <x:c r="T20" s="50" t="str">
        <x:v>Not contacted</x:v>
      </x:c>
      <x:c r="U20" s="50" t="str">
        <x:v>Role-based travel email</x:v>
      </x:c>
    </x:row>
    <x:row r="21" ht="42" hidden="0" customHeight="1">
      <x:c r="A21" s="49" t="n">
        <x:v>20</x:v>
      </x:c>
      <x:c r="B21" s="50" t="str">
        <x:v>Carol Stream Storm</x:v>
      </x:c>
      <x:c r="C21" s="50" t="str">
        <x:v>Fastpitch</x:v>
      </x:c>
      <x:c r="D21" s="50" t="str">
        <x:v>IL</x:v>
      </x:c>
      <x:c r="E21" s="50" t="str">
        <x:v>Carol Stream / West Chicago</x:v>
      </x:c>
      <x:c r="F21" s="50" t="str">
        <x:v>West Suburbs</x:v>
      </x:c>
      <x:c r="G21" s="50" t="str">
        <x:v>Multiple youth</x:v>
      </x:c>
      <x:c r="H21" s="50" t="str">
        <x:v>Storm Softball</x:v>
      </x:c>
      <x:c r="I21" s="50" t="str">
        <x:v>Program</x:v>
      </x:c>
      <x:c r="J21" s="50" t="str">
        <x:v>cstsba.softball@gmail.com</x:v>
      </x:c>
      <x:c r="K21" s="50" t="str">
        <x:v>Organization inbox</x:v>
      </x:c>
      <x:c r="L21" s="50" t="str">
        <x:v>Email</x:v>
      </x:c>
      <x:c r="M21" s="50" t="str">
        <x:v>https://www.cstsba.com/softballtryouts</x:v>
      </x:c>
      <x:c r="N21" s="50" t="str"/>
      <x:c r="O21" s="50" t="str"/>
      <x:c r="P21" s="50" t="str"/>
      <x:c r="Q21" s="50" t="str">
        <x:v>2026-27 tryouts posted</x:v>
      </x:c>
      <x:c r="R21" s="50" t="str">
        <x:v>High</x:v>
      </x:c>
      <x:c r="S21" s="51" t="str">
        <x:v>2026-08-24</x:v>
      </x:c>
      <x:c r="T21" s="50" t="str">
        <x:v>Not contacted</x:v>
      </x:c>
      <x:c r="U21" s="50" t="str">
        <x:v>Program also publishes president inbox</x:v>
      </x:c>
    </x:row>
    <x:row r="22" ht="42" hidden="0" customHeight="1">
      <x:c r="A22" s="49" t="n">
        <x:v>21</x:v>
      </x:c>
      <x:c r="B22" s="50" t="str">
        <x:v>Kishwaukee Valley Storm</x:v>
      </x:c>
      <x:c r="C22" s="50" t="str">
        <x:v>Fastpitch</x:v>
      </x:c>
      <x:c r="D22" s="50" t="str">
        <x:v>IL</x:v>
      </x:c>
      <x:c r="E22" s="50" t="str">
        <x:v>Kingston / DeKalb area</x:v>
      </x:c>
      <x:c r="F22" s="50" t="str">
        <x:v>Northern Illinois</x:v>
      </x:c>
      <x:c r="G22" s="50" t="str">
        <x:v>Multiple youth</x:v>
      </x:c>
      <x:c r="H22" s="50" t="str">
        <x:v>Organization</x:v>
      </x:c>
      <x:c r="I22" s="50" t="str">
        <x:v>Program</x:v>
      </x:c>
      <x:c r="J22" s="50" t="str"/>
      <x:c r="K22" s="50" t="str">
        <x:v>Official website</x:v>
      </x:c>
      <x:c r="L22" s="50" t="str">
        <x:v>Website / social links</x:v>
      </x:c>
      <x:c r="M22" s="50" t="str">
        <x:v>https://kvstorm.org/</x:v>
      </x:c>
      <x:c r="N22" s="50" t="str"/>
      <x:c r="O22" s="50" t="str"/>
      <x:c r="P22" s="50" t="str"/>
      <x:c r="Q22" s="50" t="str">
        <x:v>2027 teams and tryouts active</x:v>
      </x:c>
      <x:c r="R22" s="50" t="str">
        <x:v>High</x:v>
      </x:c>
      <x:c r="S22" s="51" t="str">
        <x:v>2026-08-24</x:v>
      </x:c>
      <x:c r="T22" s="50" t="str">
        <x:v>Not contacted</x:v>
      </x:c>
      <x:c r="U22" s="50" t="str">
        <x:v>Current official site; use its inquiry/social links</x:v>
      </x:c>
    </x:row>
    <x:row r="23" ht="42" hidden="0" customHeight="1">
      <x:c r="A23" s="49" t="n">
        <x:v>22</x:v>
      </x:c>
      <x:c r="B23" s="50" t="str">
        <x:v>K25 Pride Softball</x:v>
      </x:c>
      <x:c r="C23" s="50" t="str">
        <x:v>Fastpitch</x:v>
      </x:c>
      <x:c r="D23" s="50" t="str">
        <x:v>IL</x:v>
      </x:c>
      <x:c r="E23" s="50" t="str">
        <x:v>North Aurora</x:v>
      </x:c>
      <x:c r="F23" s="50" t="str">
        <x:v>Fox Valley / West Suburbs</x:v>
      </x:c>
      <x:c r="G23" s="50" t="str">
        <x:v>8U-14U</x:v>
      </x:c>
      <x:c r="H23" s="50" t="str">
        <x:v>Lily</x:v>
      </x:c>
      <x:c r="I23" s="50" t="str">
        <x:v>Program contact</x:v>
      </x:c>
      <x:c r="J23" s="50" t="str">
        <x:v>lily@k25baseball.com</x:v>
      </x:c>
      <x:c r="K23" s="50" t="str">
        <x:v>Role inbox</x:v>
      </x:c>
      <x:c r="L23" s="50" t="str">
        <x:v>Email</x:v>
      </x:c>
      <x:c r="M23" s="50" t="str">
        <x:v>https://www.k25baseball.com/pride-softball</x:v>
      </x:c>
      <x:c r="N23" s="50" t="str"/>
      <x:c r="O23" s="50" t="str"/>
      <x:c r="P23" s="50" t="str"/>
      <x:c r="Q23" s="50" t="str">
        <x:v>2026-27 tryouts posted</x:v>
      </x:c>
      <x:c r="R23" s="50" t="str">
        <x:v>High</x:v>
      </x:c>
      <x:c r="S23" s="51" t="str">
        <x:v>2026-08-24</x:v>
      </x:c>
      <x:c r="T23" s="50" t="str">
        <x:v>Not contacted</x:v>
      </x:c>
      <x:c r="U23" s="50" t="str">
        <x:v>One inbox for program and incoming teams</x:v>
      </x:c>
    </x:row>
    <x:row r="24" ht="42" hidden="0" customHeight="1">
      <x:c r="A24" s="49" t="n">
        <x:v>23</x:v>
      </x:c>
      <x:c r="B24" s="50" t="str">
        <x:v>CTW Softball</x:v>
      </x:c>
      <x:c r="C24" s="50" t="str">
        <x:v>Fastpitch</x:v>
      </x:c>
      <x:c r="D24" s="50" t="str">
        <x:v>IL</x:v>
      </x:c>
      <x:c r="E24" s="50" t="str">
        <x:v>Crystal Lake / McHenry</x:v>
      </x:c>
      <x:c r="F24" s="50" t="str">
        <x:v>Northwest Suburbs</x:v>
      </x:c>
      <x:c r="G24" s="50" t="str">
        <x:v>Multiple youth</x:v>
      </x:c>
      <x:c r="H24" s="50" t="str">
        <x:v>Program contact</x:v>
      </x:c>
      <x:c r="I24" s="50" t="str">
        <x:v>Program</x:v>
      </x:c>
      <x:c r="J24" s="50" t="str">
        <x:v>pghempen@gmail.com</x:v>
      </x:c>
      <x:c r="K24" s="50" t="str">
        <x:v>Program contact</x:v>
      </x:c>
      <x:c r="L24" s="50" t="str">
        <x:v>Email</x:v>
      </x:c>
      <x:c r="M24" s="50" t="str">
        <x:v>https://www.ctwfastpitch.com/page/show/735634-2025-2026-tryouts</x:v>
      </x:c>
      <x:c r="N24" s="50" t="str"/>
      <x:c r="O24" s="50" t="str"/>
      <x:c r="P24" s="50" t="str"/>
      <x:c r="Q24" s="50" t="str">
        <x:v>2026-27 tryouts posted</x:v>
      </x:c>
      <x:c r="R24" s="50" t="str">
        <x:v>High</x:v>
      </x:c>
      <x:c r="S24" s="51" t="str">
        <x:v>2026-08-24</x:v>
      </x:c>
      <x:c r="T24" s="50" t="str">
        <x:v>Not contacted</x:v>
      </x:c>
      <x:c r="U24" s="50" t="str">
        <x:v>Current tryout contact</x:v>
      </x:c>
    </x:row>
    <x:row r="25" ht="42" hidden="0" customHeight="1">
      <x:c r="A25" s="49" t="n">
        <x:v>24</x:v>
      </x:c>
      <x:c r="B25" s="50" t="str">
        <x:v>Silver Hawks Softball Association</x:v>
      </x:c>
      <x:c r="C25" s="50" t="str">
        <x:v>Fastpitch</x:v>
      </x:c>
      <x:c r="D25" s="50" t="str">
        <x:v>IL</x:v>
      </x:c>
      <x:c r="E25" s="50" t="str">
        <x:v>West Chicago</x:v>
      </x:c>
      <x:c r="F25" s="50" t="str">
        <x:v>West Suburbs</x:v>
      </x:c>
      <x:c r="G25" s="50" t="str">
        <x:v>12U-18U</x:v>
      </x:c>
      <x:c r="H25" s="50" t="str">
        <x:v>Shaun Cavazos</x:v>
      </x:c>
      <x:c r="I25" s="50" t="str">
        <x:v>Coach contact</x:v>
      </x:c>
      <x:c r="J25" s="50" t="str">
        <x:v>cavazos2877@gmail.com</x:v>
      </x:c>
      <x:c r="K25" s="50" t="str">
        <x:v>Coach email</x:v>
      </x:c>
      <x:c r="L25" s="50" t="str">
        <x:v>Email</x:v>
      </x:c>
      <x:c r="M25" s="50" t="str">
        <x:v>https://silverhawksfastpitch.sportngin.com/</x:v>
      </x:c>
      <x:c r="N25" s="50" t="str"/>
      <x:c r="O25" s="50" t="str"/>
      <x:c r="P25" s="50" t="str"/>
      <x:c r="Q25" s="50" t="str">
        <x:v>2026-27 teams and coaches posted</x:v>
      </x:c>
      <x:c r="R25" s="50" t="str">
        <x:v>High</x:v>
      </x:c>
      <x:c r="S25" s="51" t="str">
        <x:v>2026-08-24</x:v>
      </x:c>
      <x:c r="T25" s="50" t="str">
        <x:v>Not contacted</x:v>
      </x:c>
      <x:c r="U25" s="50" t="str">
        <x:v>Team-specific public contact; personalize outreach</x:v>
      </x:c>
    </x:row>
    <x:row r="26" ht="42" hidden="0" customHeight="1">
      <x:c r="A26" s="49" t="n">
        <x:v>25</x:v>
      </x:c>
      <x:c r="B26" s="50" t="str">
        <x:v>Illinois Valley Aftershock</x:v>
      </x:c>
      <x:c r="C26" s="50" t="str">
        <x:v>Fastpitch</x:v>
      </x:c>
      <x:c r="D26" s="50" t="str">
        <x:v>IL</x:v>
      </x:c>
      <x:c r="E26" s="50" t="str">
        <x:v>Peru / Illinois Valley</x:v>
      </x:c>
      <x:c r="F26" s="50" t="str">
        <x:v>North-Central Illinois</x:v>
      </x:c>
      <x:c r="G26" s="50" t="str">
        <x:v>9U-16U</x:v>
      </x:c>
      <x:c r="H26" s="50" t="str">
        <x:v>Organization</x:v>
      </x:c>
      <x:c r="I26" s="50" t="str">
        <x:v>Program</x:v>
      </x:c>
      <x:c r="J26" s="50" t="str"/>
      <x:c r="K26" s="50" t="str">
        <x:v>Official website / Facebook</x:v>
      </x:c>
      <x:c r="L26" s="50" t="str">
        <x:v>Facebook via website</x:v>
      </x:c>
      <x:c r="M26" s="50" t="str">
        <x:v>https://www.illinoisvalleyaftershock.com/</x:v>
      </x:c>
      <x:c r="N26" s="50" t="str"/>
      <x:c r="O26" s="50" t="str"/>
      <x:c r="P26" s="50" t="str"/>
      <x:c r="Q26" s="50" t="str">
        <x:v>2025-26 teams and 2026 schedules posted</x:v>
      </x:c>
      <x:c r="R26" s="50" t="str">
        <x:v>High</x:v>
      </x:c>
      <x:c r="S26" s="51" t="str">
        <x:v>2026-08-24</x:v>
      </x:c>
      <x:c r="T26" s="50" t="str">
        <x:v>Not contacted</x:v>
      </x:c>
      <x:c r="U26" s="50" t="str">
        <x:v>Official site links Facebook and current team pages</x:v>
      </x:c>
    </x:row>
    <x:row r="27" ht="42" hidden="0" customHeight="1">
      <x:c r="A27" s="49" t="n">
        <x:v>26</x:v>
      </x:c>
      <x:c r="B27" s="50" t="str">
        <x:v>Illinois Sluggers</x:v>
      </x:c>
      <x:c r="C27" s="50" t="str">
        <x:v>Fastpitch</x:v>
      </x:c>
      <x:c r="D27" s="50" t="str">
        <x:v>IL</x:v>
      </x:c>
      <x:c r="E27" s="50" t="str">
        <x:v>Schaumburg</x:v>
      </x:c>
      <x:c r="F27" s="50" t="str">
        <x:v>Northwest Suburbs</x:v>
      </x:c>
      <x:c r="G27" s="50" t="str">
        <x:v>Multiple youth / HS</x:v>
      </x:c>
      <x:c r="H27" s="50" t="str">
        <x:v>Dan Long</x:v>
      </x:c>
      <x:c r="I27" s="50" t="str">
        <x:v>Head Commissioner</x:v>
      </x:c>
      <x:c r="J27" s="50" t="str"/>
      <x:c r="K27" s="50" t="str">
        <x:v>Official program page</x:v>
      </x:c>
      <x:c r="L27" s="50" t="str">
        <x:v>Website contact</x:v>
      </x:c>
      <x:c r="M27" s="50" t="str">
        <x:v>https://www.saa-online.com/sluggers</x:v>
      </x:c>
      <x:c r="N27" s="50" t="str"/>
      <x:c r="O27" s="50" t="str"/>
      <x:c r="P27" s="50" t="str"/>
      <x:c r="Q27" s="50" t="str">
        <x:v>2025-26 teams and current program page</x:v>
      </x:c>
      <x:c r="R27" s="50" t="str">
        <x:v>Medium</x:v>
      </x:c>
      <x:c r="S27" s="51" t="str">
        <x:v>2026-08-24</x:v>
      </x:c>
      <x:c r="T27" s="50" t="str">
        <x:v>Not contacted</x:v>
      </x:c>
      <x:c r="U27" s="50" t="str">
        <x:v>Use commissioner/contact route on official page</x:v>
      </x:c>
    </x:row>
    <x:row r="28" ht="42" hidden="0" customHeight="1">
      <x:c r="A28" s="49" t="n">
        <x:v>27</x:v>
      </x:c>
      <x:c r="B28" s="50" t="str">
        <x:v>Express Fastpitch</x:v>
      </x:c>
      <x:c r="C28" s="50" t="str">
        <x:v>Fastpitch</x:v>
      </x:c>
      <x:c r="D28" s="50" t="str">
        <x:v>IL</x:v>
      </x:c>
      <x:c r="E28" s="50" t="str">
        <x:v>Monroe Center</x:v>
      </x:c>
      <x:c r="F28" s="50" t="str">
        <x:v>Northern Illinois</x:v>
      </x:c>
      <x:c r="G28" s="50" t="str">
        <x:v>Multiple youth</x:v>
      </x:c>
      <x:c r="H28" s="50" t="str">
        <x:v>Organization</x:v>
      </x:c>
      <x:c r="I28" s="50" t="str">
        <x:v>Program</x:v>
      </x:c>
      <x:c r="J28" s="50" t="str">
        <x:v>expressfastpitch2010@gmail.com</x:v>
      </x:c>
      <x:c r="K28" s="50" t="str">
        <x:v>Organization inbox</x:v>
      </x:c>
      <x:c r="L28" s="50" t="str">
        <x:v>Email</x:v>
      </x:c>
      <x:c r="M28" s="50" t="str">
        <x:v>https://www.expressfastpitch.com/</x:v>
      </x:c>
      <x:c r="N28" s="50" t="str"/>
      <x:c r="O28" s="50" t="str"/>
      <x:c r="P28" s="50" t="str"/>
      <x:c r="Q28" s="50" t="str">
        <x:v>Official site; contact references 2024-25</x:v>
      </x:c>
      <x:c r="R28" s="50" t="str">
        <x:v>Medium</x:v>
      </x:c>
      <x:c r="S28" s="51" t="str">
        <x:v>2026-08-24</x:v>
      </x:c>
      <x:c r="T28" s="50" t="str">
        <x:v>Not contacted</x:v>
      </x:c>
      <x:c r="U28" s="50" t="str">
        <x:v>Verify activity before larger send</x:v>
      </x:c>
    </x:row>
    <x:row r="29" ht="42" hidden="0" customHeight="1">
      <x:c r="A29" s="49" t="n">
        <x:v>28</x:v>
      </x:c>
      <x:c r="B29" s="50" t="str">
        <x:v>Woodstock Storm</x:v>
      </x:c>
      <x:c r="C29" s="50" t="str">
        <x:v>Fastpitch</x:v>
      </x:c>
      <x:c r="D29" s="50" t="str">
        <x:v>IL</x:v>
      </x:c>
      <x:c r="E29" s="50" t="str">
        <x:v>Woodstock</x:v>
      </x:c>
      <x:c r="F29" s="50" t="str">
        <x:v>Northern Illinois</x:v>
      </x:c>
      <x:c r="G29" s="50" t="str">
        <x:v>10U-16U</x:v>
      </x:c>
      <x:c r="H29" s="50" t="str">
        <x:v>Storm Program</x:v>
      </x:c>
      <x:c r="I29" s="50" t="str">
        <x:v>Program</x:v>
      </x:c>
      <x:c r="J29" s="50" t="str"/>
      <x:c r="K29" s="50" t="str">
        <x:v>Official contact page</x:v>
      </x:c>
      <x:c r="L29" s="50" t="str">
        <x:v>Website contact</x:v>
      </x:c>
      <x:c r="M29" s="50" t="str">
        <x:v>https://www.woodstockgirlssoftball.org/Default.aspx?tabid=970475</x:v>
      </x:c>
      <x:c r="N29" s="50" t="str"/>
      <x:c r="O29" s="50" t="str"/>
      <x:c r="P29" s="50" t="str"/>
      <x:c r="Q29" s="50" t="str">
        <x:v>Current program page crawled 2026</x:v>
      </x:c>
      <x:c r="R29" s="50" t="str">
        <x:v>Medium</x:v>
      </x:c>
      <x:c r="S29" s="51" t="str">
        <x:v>2026-08-24</x:v>
      </x:c>
      <x:c r="T29" s="50" t="str">
        <x:v>Not contacted</x:v>
      </x:c>
      <x:c r="U29" s="50" t="str">
        <x:v>Email is obscured publicly; use page contact</x:v>
      </x:c>
    </x:row>
    <x:row r="30" ht="42" hidden="0" customHeight="1">
      <x:c r="A30" s="49" t="n">
        <x:v>29</x:v>
      </x:c>
      <x:c r="B30" s="50" t="str">
        <x:v>Lady Reds Softball</x:v>
      </x:c>
      <x:c r="C30" s="50" t="str">
        <x:v>Fastpitch</x:v>
      </x:c>
      <x:c r="D30" s="50" t="str">
        <x:v>IL</x:v>
      </x:c>
      <x:c r="E30" s="50" t="str">
        <x:v>Northern Illinois</x:v>
      </x:c>
      <x:c r="F30" s="50" t="str">
        <x:v>Northern Illinois</x:v>
      </x:c>
      <x:c r="G30" s="50" t="str">
        <x:v>18U</x:v>
      </x:c>
      <x:c r="H30" s="50" t="str">
        <x:v>Organization</x:v>
      </x:c>
      <x:c r="I30" s="50" t="str">
        <x:v>Team</x:v>
      </x:c>
      <x:c r="J30" s="50" t="str">
        <x:v>ctmblnsn@gmail.com</x:v>
      </x:c>
      <x:c r="K30" s="50" t="str">
        <x:v>Team inbox</x:v>
      </x:c>
      <x:c r="L30" s="50" t="str">
        <x:v>Email</x:v>
      </x:c>
      <x:c r="M30" s="50" t="str">
        <x:v>https://www.ladyredsil.org/</x:v>
      </x:c>
      <x:c r="N30" s="50" t="str"/>
      <x:c r="O30" s="50" t="str"/>
      <x:c r="P30" s="50" t="str"/>
      <x:c r="Q30" s="50" t="str">
        <x:v>Current site crawled 2026</x:v>
      </x:c>
      <x:c r="R30" s="50" t="str">
        <x:v>Medium</x:v>
      </x:c>
      <x:c r="S30" s="51" t="str">
        <x:v>2026-08-24</x:v>
      </x:c>
      <x:c r="T30" s="50" t="str">
        <x:v>Not contacted</x:v>
      </x:c>
      <x:c r="U30" s="50" t="str">
        <x:v>Single-team lead</x:v>
      </x:c>
    </x:row>
    <x:row r="31" ht="42" hidden="0" customHeight="1">
      <x:c r="A31" s="49" t="n">
        <x:v>30</x:v>
      </x:c>
      <x:c r="B31" s="50" t="str">
        <x:v>Silver Sluggers Academy</x:v>
      </x:c>
      <x:c r="C31" s="50" t="str">
        <x:v>Both</x:v>
      </x:c>
      <x:c r="D31" s="50" t="str">
        <x:v>WI</x:v>
      </x:c>
      <x:c r="E31" s="50" t="str">
        <x:v>Middleton / Lake Mills</x:v>
      </x:c>
      <x:c r="F31" s="50" t="str">
        <x:v>South-Central Wisconsin</x:v>
      </x:c>
      <x:c r="G31" s="50" t="str">
        <x:v>Multiple youth</x:v>
      </x:c>
      <x:c r="H31" s="50" t="str">
        <x:v>Organization</x:v>
      </x:c>
      <x:c r="I31" s="50" t="str">
        <x:v>Academy</x:v>
      </x:c>
      <x:c r="J31" s="50" t="str">
        <x:v>support@silversluggers.com</x:v>
      </x:c>
      <x:c r="K31" s="50" t="str">
        <x:v>Role inbox</x:v>
      </x:c>
      <x:c r="L31" s="50" t="str">
        <x:v>Email</x:v>
      </x:c>
      <x:c r="M31" s="50" t="str">
        <x:v>https://silversluggers.com/</x:v>
      </x:c>
      <x:c r="N31" s="50" t="str"/>
      <x:c r="O31" s="50" t="str"/>
      <x:c r="P31" s="50" t="str"/>
      <x:c r="Q31" s="50" t="str">
        <x:v>2026-27 expansion and tryouts active</x:v>
      </x:c>
      <x:c r="R31" s="50" t="str">
        <x:v>High</x:v>
      </x:c>
      <x:c r="S31" s="51" t="str">
        <x:v>2026-08-24</x:v>
      </x:c>
      <x:c r="T31" s="50" t="str">
        <x:v>Not contacted</x:v>
      </x:c>
      <x:c r="U31" s="50" t="str">
        <x:v>Two locations and both sports</x:v>
      </x:c>
    </x:row>
    <x:row r="32" ht="42" hidden="0" customHeight="1">
      <x:c r="A32" s="49" t="n">
        <x:v>31</x:v>
      </x:c>
      <x:c r="B32" s="50" t="str">
        <x:v>Puma Baseball Academy</x:v>
      </x:c>
      <x:c r="C32" s="50" t="str">
        <x:v>Both</x:v>
      </x:c>
      <x:c r="D32" s="50" t="str">
        <x:v>WI</x:v>
      </x:c>
      <x:c r="E32" s="50" t="str">
        <x:v>Kenosha</x:v>
      </x:c>
      <x:c r="F32" s="50" t="str">
        <x:v>Southeast Wisconsin</x:v>
      </x:c>
      <x:c r="G32" s="50" t="str">
        <x:v>Multiple youth</x:v>
      </x:c>
      <x:c r="H32" s="50" t="str">
        <x:v>Organization</x:v>
      </x:c>
      <x:c r="I32" s="50" t="str">
        <x:v>Academy</x:v>
      </x:c>
      <x:c r="J32" s="50" t="str">
        <x:v>admin@pumabaseballacademy.com</x:v>
      </x:c>
      <x:c r="K32" s="50" t="str">
        <x:v>Role inbox</x:v>
      </x:c>
      <x:c r="L32" s="50" t="str">
        <x:v>Email</x:v>
      </x:c>
      <x:c r="M32" s="50" t="str">
        <x:v>https://www.pumabaseballacademy.com/</x:v>
      </x:c>
      <x:c r="N32" s="50" t="str"/>
      <x:c r="O32" s="50" t="str"/>
      <x:c r="P32" s="50" t="str"/>
      <x:c r="Q32" s="50" t="str">
        <x:v>Current travel-team program</x:v>
      </x:c>
      <x:c r="R32" s="50" t="str">
        <x:v>High</x:v>
      </x:c>
      <x:c r="S32" s="51" t="str">
        <x:v>2026-08-24</x:v>
      </x:c>
      <x:c r="T32" s="50" t="str">
        <x:v>Not contacted</x:v>
      </x:c>
      <x:c r="U32" s="50" t="str">
        <x:v>Both sports; organization inbox</x:v>
      </x:c>
    </x:row>
    <x:row r="33" ht="42" hidden="0" customHeight="1">
      <x:c r="A33" s="49" t="n">
        <x:v>32</x:v>
      </x:c>
      <x:c r="B33" s="50" t="str">
        <x:v>Hitters Baseball Academy</x:v>
      </x:c>
      <x:c r="C33" s="50" t="str">
        <x:v>Baseball</x:v>
      </x:c>
      <x:c r="D33" s="50" t="str">
        <x:v>WI</x:v>
      </x:c>
      <x:c r="E33" s="50" t="str">
        <x:v>Caledonia / Menomonee Falls</x:v>
      </x:c>
      <x:c r="F33" s="50" t="str">
        <x:v>Southeast Wisconsin</x:v>
      </x:c>
      <x:c r="G33" s="50" t="str">
        <x:v>Youth / HS</x:v>
      </x:c>
      <x:c r="H33" s="50" t="str">
        <x:v>Andy</x:v>
      </x:c>
      <x:c r="I33" s="50" t="str">
        <x:v>Organization contact</x:v>
      </x:c>
      <x:c r="J33" s="50" t="str">
        <x:v>andy@hittersbaseball.org</x:v>
      </x:c>
      <x:c r="K33" s="50" t="str">
        <x:v>Organization email</x:v>
      </x:c>
      <x:c r="L33" s="50" t="str">
        <x:v>Email</x:v>
      </x:c>
      <x:c r="M33" s="50" t="str">
        <x:v>https://hittersbaseballacademy.com/</x:v>
      </x:c>
      <x:c r="N33" s="50" t="str"/>
      <x:c r="O33" s="50" t="str"/>
      <x:c r="P33" s="50" t="str"/>
      <x:c r="Q33" s="50" t="str">
        <x:v>Current site with 2026/2027 players</x:v>
      </x:c>
      <x:c r="R33" s="50" t="str">
        <x:v>High</x:v>
      </x:c>
      <x:c r="S33" s="51" t="str">
        <x:v>2026-08-24</x:v>
      </x:c>
      <x:c r="T33" s="50" t="str">
        <x:v>Not contacted</x:v>
      </x:c>
      <x:c r="U33" s="50" t="str">
        <x:v>Large program with two locations</x:v>
      </x:c>
    </x:row>
    <x:row r="34" ht="42" hidden="0" customHeight="1">
      <x:c r="A34" s="49" t="n">
        <x:v>33</x:v>
      </x:c>
      <x:c r="B34" s="50" t="str">
        <x:v>West Madison Thunder</x:v>
      </x:c>
      <x:c r="C34" s="50" t="str">
        <x:v>Both</x:v>
      </x:c>
      <x:c r="D34" s="50" t="str">
        <x:v>WI</x:v>
      </x:c>
      <x:c r="E34" s="50" t="str">
        <x:v>Madison</x:v>
      </x:c>
      <x:c r="F34" s="50" t="str">
        <x:v>South-Central Wisconsin</x:v>
      </x:c>
      <x:c r="G34" s="50" t="str">
        <x:v>8U-14U</x:v>
      </x:c>
      <x:c r="H34" s="50" t="str">
        <x:v>Tryouts</x:v>
      </x:c>
      <x:c r="I34" s="50" t="str">
        <x:v>Program</x:v>
      </x:c>
      <x:c r="J34" s="50" t="str">
        <x:v>tryouts@westmadisonthunder.com</x:v>
      </x:c>
      <x:c r="K34" s="50" t="str">
        <x:v>Role inbox</x:v>
      </x:c>
      <x:c r="L34" s="50" t="str">
        <x:v>Email</x:v>
      </x:c>
      <x:c r="M34" s="50" t="str">
        <x:v>https://www.westmadisonthunder.com/program/thunder-baseball/22672</x:v>
      </x:c>
      <x:c r="N34" s="50" t="str"/>
      <x:c r="O34" s="50" t="str"/>
      <x:c r="P34" s="50" t="str"/>
      <x:c r="Q34" s="50" t="str">
        <x:v>2027 baseball and softball programs active</x:v>
      </x:c>
      <x:c r="R34" s="50" t="str">
        <x:v>High</x:v>
      </x:c>
      <x:c r="S34" s="51" t="str">
        <x:v>2026-08-24</x:v>
      </x:c>
      <x:c r="T34" s="50" t="str">
        <x:v>Not contacted</x:v>
      </x:c>
      <x:c r="U34" s="50" t="str">
        <x:v>Same inbox reaches both programs</x:v>
      </x:c>
    </x:row>
    <x:row r="35" ht="42" hidden="0" customHeight="1">
      <x:c r="A35" s="49" t="n">
        <x:v>34</x:v>
      </x:c>
      <x:c r="B35" s="50" t="str">
        <x:v>Northwoods Baseball Select</x:v>
      </x:c>
      <x:c r="C35" s="50" t="str">
        <x:v>Baseball</x:v>
      </x:c>
      <x:c r="D35" s="50" t="str">
        <x:v>WI</x:v>
      </x:c>
      <x:c r="E35" s="50" t="str">
        <x:v>Kronenwetter / Wausau area</x:v>
      </x:c>
      <x:c r="F35" s="50" t="str">
        <x:v>Central Wisconsin</x:v>
      </x:c>
      <x:c r="G35" s="50" t="str">
        <x:v>9U-14U</x:v>
      </x:c>
      <x:c r="H35" s="50" t="str">
        <x:v>Matt Spets</x:v>
      </x:c>
      <x:c r="I35" s="50" t="str">
        <x:v>Program contact</x:v>
      </x:c>
      <x:c r="J35" s="50" t="str">
        <x:v>northwoodsbaseballllc@gmail.com</x:v>
      </x:c>
      <x:c r="K35" s="50" t="str">
        <x:v>Organization inbox</x:v>
      </x:c>
      <x:c r="L35" s="50" t="str">
        <x:v>Email</x:v>
      </x:c>
      <x:c r="M35" s="50" t="str">
        <x:v>https://www.nwbaseballselect.org/events-1/2026-northwoods-baseball-tryouts</x:v>
      </x:c>
      <x:c r="N35" s="50" t="str"/>
      <x:c r="O35" s="50" t="str"/>
      <x:c r="P35" s="50" t="str"/>
      <x:c r="Q35" s="50" t="str">
        <x:v>2027 tryouts posted</x:v>
      </x:c>
      <x:c r="R35" s="50" t="str">
        <x:v>High</x:v>
      </x:c>
      <x:c r="S35" s="51" t="str">
        <x:v>2026-08-24</x:v>
      </x:c>
      <x:c r="T35" s="50" t="str">
        <x:v>Not contacted</x:v>
      </x:c>
      <x:c r="U35" s="50" t="str">
        <x:v>Current north-central lead</x:v>
      </x:c>
    </x:row>
    <x:row r="36" ht="42" hidden="0" customHeight="1">
      <x:c r="A36" s="49" t="n">
        <x:v>35</x:v>
      </x:c>
      <x:c r="B36" s="50" t="str">
        <x:v>Mosinee Youth Baseball</x:v>
      </x:c>
      <x:c r="C36" s="50" t="str">
        <x:v>Baseball</x:v>
      </x:c>
      <x:c r="D36" s="50" t="str">
        <x:v>WI</x:v>
      </x:c>
      <x:c r="E36" s="50" t="str">
        <x:v>Mosinee</x:v>
      </x:c>
      <x:c r="F36" s="50" t="str">
        <x:v>Central Wisconsin</x:v>
      </x:c>
      <x:c r="G36" s="50" t="str">
        <x:v>8U-14U</x:v>
      </x:c>
      <x:c r="H36" s="50" t="str">
        <x:v>Brad Pochinski</x:v>
      </x:c>
      <x:c r="I36" s="50" t="str">
        <x:v>Travel Manager</x:v>
      </x:c>
      <x:c r="J36" s="50" t="str">
        <x:v>mosineeyouthbaseball@gmail.com</x:v>
      </x:c>
      <x:c r="K36" s="50" t="str">
        <x:v>Organization inbox</x:v>
      </x:c>
      <x:c r="L36" s="50" t="str">
        <x:v>Email</x:v>
      </x:c>
      <x:c r="M36" s="50" t="str">
        <x:v>https://www.mosineeyouthbaseball.com/news/2027-travel-league-registration/17923</x:v>
      </x:c>
      <x:c r="N36" s="50" t="str"/>
      <x:c r="O36" s="50" t="str"/>
      <x:c r="P36" s="50" t="str"/>
      <x:c r="Q36" s="50" t="str">
        <x:v>2027 registration and coaches posted</x:v>
      </x:c>
      <x:c r="R36" s="50" t="str">
        <x:v>High</x:v>
      </x:c>
      <x:c r="S36" s="51" t="str">
        <x:v>2026-08-24</x:v>
      </x:c>
      <x:c r="T36" s="50" t="str">
        <x:v>Not contacted</x:v>
      </x:c>
      <x:c r="U36" s="50" t="str">
        <x:v>Role/organization inbox</x:v>
      </x:c>
    </x:row>
    <x:row r="37" ht="42" hidden="0" customHeight="1">
      <x:c r="A37" s="49" t="n">
        <x:v>36</x:v>
      </x:c>
      <x:c r="B37" s="50" t="str">
        <x:v>Turn 2 Athletics</x:v>
      </x:c>
      <x:c r="C37" s="50" t="str">
        <x:v>Baseball</x:v>
      </x:c>
      <x:c r="D37" s="50" t="str">
        <x:v>WI</x:v>
      </x:c>
      <x:c r="E37" s="50" t="str">
        <x:v>Altoona / Eau Claire</x:v>
      </x:c>
      <x:c r="F37" s="50" t="str">
        <x:v>Western Wisconsin</x:v>
      </x:c>
      <x:c r="G37" s="50" t="str">
        <x:v>14U-16U</x:v>
      </x:c>
      <x:c r="H37" s="50" t="str">
        <x:v>Organization</x:v>
      </x:c>
      <x:c r="I37" s="50" t="str">
        <x:v>Program</x:v>
      </x:c>
      <x:c r="J37" s="50" t="str">
        <x:v>baseball@turn2-athletics.com</x:v>
      </x:c>
      <x:c r="K37" s="50" t="str">
        <x:v>Role inbox</x:v>
      </x:c>
      <x:c r="L37" s="50" t="str">
        <x:v>Email</x:v>
      </x:c>
      <x:c r="M37" s="50" t="str">
        <x:v>https://www.turn2-athletics.com/baseball</x:v>
      </x:c>
      <x:c r="N37" s="50" t="str"/>
      <x:c r="O37" s="50" t="str"/>
      <x:c r="P37" s="50" t="str"/>
      <x:c r="Q37" s="50" t="str">
        <x:v>2027 travel tryouts posted</x:v>
      </x:c>
      <x:c r="R37" s="50" t="str">
        <x:v>High</x:v>
      </x:c>
      <x:c r="S37" s="51" t="str">
        <x:v>2026-08-24</x:v>
      </x:c>
      <x:c r="T37" s="50" t="str">
        <x:v>Not contacted</x:v>
      </x:c>
      <x:c r="U37" s="50" t="str">
        <x:v>Western Wisconsin coverage</x:v>
      </x:c>
    </x:row>
    <x:row r="38" ht="42" hidden="0" customHeight="1">
      <x:c r="A38" s="49" t="n">
        <x:v>37</x:v>
      </x:c>
      <x:c r="B38" s="50" t="str">
        <x:v>Slinger On Base Baseball Club</x:v>
      </x:c>
      <x:c r="C38" s="50" t="str">
        <x:v>Baseball</x:v>
      </x:c>
      <x:c r="D38" s="50" t="str">
        <x:v>WI</x:v>
      </x:c>
      <x:c r="E38" s="50" t="str">
        <x:v>Slinger</x:v>
      </x:c>
      <x:c r="F38" s="50" t="str">
        <x:v>Southeast Wisconsin</x:v>
      </x:c>
      <x:c r="G38" s="50" t="str">
        <x:v>Multiple youth</x:v>
      </x:c>
      <x:c r="H38" s="50" t="str">
        <x:v>Organization</x:v>
      </x:c>
      <x:c r="I38" s="50" t="str">
        <x:v>Club</x:v>
      </x:c>
      <x:c r="J38" s="50" t="str">
        <x:v>slingeronbase@gmail.com</x:v>
      </x:c>
      <x:c r="K38" s="50" t="str">
        <x:v>Organization inbox</x:v>
      </x:c>
      <x:c r="L38" s="50" t="str">
        <x:v>Email</x:v>
      </x:c>
      <x:c r="M38" s="50" t="str">
        <x:v>https://slingeronbase.com/tryouts/</x:v>
      </x:c>
      <x:c r="N38" s="50" t="str"/>
      <x:c r="O38" s="50" t="str"/>
      <x:c r="P38" s="50" t="str"/>
      <x:c r="Q38" s="50" t="str">
        <x:v>2027 tryouts posted</x:v>
      </x:c>
      <x:c r="R38" s="50" t="str">
        <x:v>High</x:v>
      </x:c>
      <x:c r="S38" s="51" t="str">
        <x:v>2026-08-24</x:v>
      </x:c>
      <x:c r="T38" s="50" t="str">
        <x:v>Not contacted</x:v>
      </x:c>
      <x:c r="U38" s="50" t="str">
        <x:v>Current club inbox</x:v>
      </x:c>
    </x:row>
    <x:row r="39" ht="42" hidden="0" customHeight="1">
      <x:c r="A39" s="49" t="n">
        <x:v>38</x:v>
      </x:c>
      <x:c r="B39" s="50" t="str">
        <x:v>Waterford Jr. Wolverines</x:v>
      </x:c>
      <x:c r="C39" s="50" t="str">
        <x:v>Both</x:v>
      </x:c>
      <x:c r="D39" s="50" t="str">
        <x:v>WI</x:v>
      </x:c>
      <x:c r="E39" s="50" t="str">
        <x:v>Waterford</x:v>
      </x:c>
      <x:c r="F39" s="50" t="str">
        <x:v>Southeast Wisconsin</x:v>
      </x:c>
      <x:c r="G39" s="50" t="str">
        <x:v>7U-14U</x:v>
      </x:c>
      <x:c r="H39" s="50" t="str">
        <x:v>Organization</x:v>
      </x:c>
      <x:c r="I39" s="50" t="str">
        <x:v>Club</x:v>
      </x:c>
      <x:c r="J39" s="50" t="str">
        <x:v>info@jrwolverines.org</x:v>
      </x:c>
      <x:c r="K39" s="50" t="str">
        <x:v>Role inbox</x:v>
      </x:c>
      <x:c r="L39" s="50" t="str">
        <x:v>Email</x:v>
      </x:c>
      <x:c r="M39" s="50" t="str">
        <x:v>https://jrwolverines.org/tryouts-baseball/</x:v>
      </x:c>
      <x:c r="N39" s="50" t="str"/>
      <x:c r="O39" s="50" t="str"/>
      <x:c r="P39" s="50" t="str"/>
      <x:c r="Q39" s="50" t="str">
        <x:v>2027 baseball and softball tryouts posted</x:v>
      </x:c>
      <x:c r="R39" s="50" t="str">
        <x:v>High</x:v>
      </x:c>
      <x:c r="S39" s="51" t="str">
        <x:v>2026-08-24</x:v>
      </x:c>
      <x:c r="T39" s="50" t="str">
        <x:v>Not contacted</x:v>
      </x:c>
      <x:c r="U39" s="50" t="str">
        <x:v>One inbox reaches both sports</x:v>
      </x:c>
    </x:row>
    <x:row r="40" ht="42" hidden="0" customHeight="1">
      <x:c r="A40" s="49" t="n">
        <x:v>39</x:v>
      </x:c>
      <x:c r="B40" s="50" t="str">
        <x:v>Grafton Travel Baseball</x:v>
      </x:c>
      <x:c r="C40" s="50" t="str">
        <x:v>Baseball</x:v>
      </x:c>
      <x:c r="D40" s="50" t="str">
        <x:v>WI</x:v>
      </x:c>
      <x:c r="E40" s="50" t="str">
        <x:v>Grafton</x:v>
      </x:c>
      <x:c r="F40" s="50" t="str">
        <x:v>Southeast Wisconsin</x:v>
      </x:c>
      <x:c r="G40" s="50" t="str">
        <x:v>8U-14U</x:v>
      </x:c>
      <x:c r="H40" s="50" t="str">
        <x:v>Brian Hagel</x:v>
      </x:c>
      <x:c r="I40" s="50" t="str">
        <x:v>Program contact</x:v>
      </x:c>
      <x:c r="J40" s="50" t="str">
        <x:v>brian.hagel@graftonlittleleague.com</x:v>
      </x:c>
      <x:c r="K40" s="50" t="str">
        <x:v>Role inbox</x:v>
      </x:c>
      <x:c r="L40" s="50" t="str">
        <x:v>Email</x:v>
      </x:c>
      <x:c r="M40" s="50" t="str">
        <x:v>https://graftonlittleleague.com/grafton-baseball-tryouts/</x:v>
      </x:c>
      <x:c r="N40" s="50" t="str"/>
      <x:c r="O40" s="50" t="str"/>
      <x:c r="P40" s="50" t="str"/>
      <x:c r="Q40" s="50" t="str">
        <x:v>2027 tryouts posted</x:v>
      </x:c>
      <x:c r="R40" s="50" t="str">
        <x:v>High</x:v>
      </x:c>
      <x:c r="S40" s="51" t="str">
        <x:v>2026-08-24</x:v>
      </x:c>
      <x:c r="T40" s="50" t="str">
        <x:v>Not contacted</x:v>
      </x:c>
      <x:c r="U40" s="50" t="str">
        <x:v>Official Little League travel contact</x:v>
      </x:c>
    </x:row>
    <x:row r="41" ht="42" hidden="0" customHeight="1">
      <x:c r="A41" s="49" t="n">
        <x:v>40</x:v>
      </x:c>
      <x:c r="B41" s="50" t="str">
        <x:v>Stevens Point Youth Baseball</x:v>
      </x:c>
      <x:c r="C41" s="50" t="str">
        <x:v>Baseball</x:v>
      </x:c>
      <x:c r="D41" s="50" t="str">
        <x:v>WI</x:v>
      </x:c>
      <x:c r="E41" s="50" t="str">
        <x:v>Stevens Point</x:v>
      </x:c>
      <x:c r="F41" s="50" t="str">
        <x:v>Central Wisconsin</x:v>
      </x:c>
      <x:c r="G41" s="50" t="str">
        <x:v>7U-15U</x:v>
      </x:c>
      <x:c r="H41" s="50" t="str">
        <x:v>Organization</x:v>
      </x:c>
      <x:c r="I41" s="50" t="str">
        <x:v>Program</x:v>
      </x:c>
      <x:c r="J41" s="50" t="str"/>
      <x:c r="K41" s="50" t="str">
        <x:v>Official website</x:v>
      </x:c>
      <x:c r="L41" s="50" t="str">
        <x:v>Website contact</x:v>
      </x:c>
      <x:c r="M41" s="50" t="str">
        <x:v>https://spyba.sportngin.com/home</x:v>
      </x:c>
      <x:c r="N41" s="50" t="str"/>
      <x:c r="O41" s="50" t="str"/>
      <x:c r="P41" s="50" t="str"/>
      <x:c r="Q41" s="50" t="str">
        <x:v>2027 registration and evaluations posted</x:v>
      </x:c>
      <x:c r="R41" s="50" t="str">
        <x:v>High</x:v>
      </x:c>
      <x:c r="S41" s="51" t="str">
        <x:v>2026-08-24</x:v>
      </x:c>
      <x:c r="T41" s="50" t="str">
        <x:v>Not contacted</x:v>
      </x:c>
      <x:c r="U41" s="50" t="str">
        <x:v>Current central Wisconsin program</x:v>
      </x:c>
    </x:row>
    <x:row r="42" ht="42" hidden="0" customHeight="1">
      <x:c r="A42" s="49" t="n">
        <x:v>41</x:v>
      </x:c>
      <x:c r="B42" s="50" t="str">
        <x:v>Screaming Eagles Baseball</x:v>
      </x:c>
      <x:c r="C42" s="50" t="str">
        <x:v>Baseball</x:v>
      </x:c>
      <x:c r="D42" s="50" t="str">
        <x:v>WI</x:v>
      </x:c>
      <x:c r="E42" s="50" t="str">
        <x:v>Waterford / Wind Lake</x:v>
      </x:c>
      <x:c r="F42" s="50" t="str">
        <x:v>Southeast Wisconsin</x:v>
      </x:c>
      <x:c r="G42" s="50" t="str">
        <x:v>Multiple youth</x:v>
      </x:c>
      <x:c r="H42" s="50" t="str">
        <x:v>Matt Pinsoneault</x:v>
      </x:c>
      <x:c r="I42" s="50" t="str">
        <x:v>Program contact</x:v>
      </x:c>
      <x:c r="J42" s="50" t="str"/>
      <x:c r="K42" s="50" t="str">
        <x:v>Coach contacts on page</x:v>
      </x:c>
      <x:c r="L42" s="50" t="str">
        <x:v>Website contact</x:v>
      </x:c>
      <x:c r="M42" s="50" t="str">
        <x:v>https://www.screamingeaglesbaseball.com/2026-tryouts</x:v>
      </x:c>
      <x:c r="N42" s="50" t="str"/>
      <x:c r="O42" s="50" t="str"/>
      <x:c r="P42" s="50" t="str"/>
      <x:c r="Q42" s="50" t="str">
        <x:v>2027 tryouts posted</x:v>
      </x:c>
      <x:c r="R42" s="50" t="str">
        <x:v>High</x:v>
      </x:c>
      <x:c r="S42" s="51" t="str">
        <x:v>2026-08-24</x:v>
      </x:c>
      <x:c r="T42" s="50" t="str">
        <x:v>Not contacted</x:v>
      </x:c>
      <x:c r="U42" s="50" t="str">
        <x:v>Official page provides age-level coach routes</x:v>
      </x:c>
    </x:row>
    <x:row r="43" ht="42" hidden="0" customHeight="1">
      <x:c r="A43" s="49" t="n">
        <x:v>42</x:v>
      </x:c>
      <x:c r="B43" s="50" t="str">
        <x:v>USA Prime State Line / Shockers</x:v>
      </x:c>
      <x:c r="C43" s="50" t="str">
        <x:v>Baseball</x:v>
      </x:c>
      <x:c r="D43" s="50" t="str">
        <x:v>WI</x:v>
      </x:c>
      <x:c r="E43" s="50" t="str">
        <x:v>Genoa City</x:v>
      </x:c>
      <x:c r="F43" s="50" t="str">
        <x:v>Southeast Wisconsin</x:v>
      </x:c>
      <x:c r="G43" s="50" t="str">
        <x:v>Multiple youth</x:v>
      </x:c>
      <x:c r="H43" s="50" t="str">
        <x:v>Bryce</x:v>
      </x:c>
      <x:c r="I43" s="50" t="str">
        <x:v>Organization contact</x:v>
      </x:c>
      <x:c r="J43" s="50" t="str">
        <x:v>bryce@shockersbaseball.org</x:v>
      </x:c>
      <x:c r="K43" s="50" t="str">
        <x:v>Organization email</x:v>
      </x:c>
      <x:c r="L43" s="50" t="str">
        <x:v>Email</x:v>
      </x:c>
      <x:c r="M43" s="50" t="str">
        <x:v>https://www.shockersbaseball.org/</x:v>
      </x:c>
      <x:c r="N43" s="50" t="str"/>
      <x:c r="O43" s="50" t="str"/>
      <x:c r="P43" s="50" t="str"/>
      <x:c r="Q43" s="50" t="str">
        <x:v>2027 tryouts active</x:v>
      </x:c>
      <x:c r="R43" s="50" t="str">
        <x:v>High</x:v>
      </x:c>
      <x:c r="S43" s="51" t="str">
        <x:v>2026-08-24</x:v>
      </x:c>
      <x:c r="T43" s="50" t="str">
        <x:v>Not contacted</x:v>
      </x:c>
      <x:c r="U43" s="50" t="str">
        <x:v>State-line coverage may reach northern Illinois too</x:v>
      </x:c>
    </x:row>
    <x:row r="44" ht="42" hidden="0" customHeight="1">
      <x:c r="A44" s="49" t="n">
        <x:v>43</x:v>
      </x:c>
      <x:c r="B44" s="50" t="str">
        <x:v>Wisconsin Dells Baseball Association</x:v>
      </x:c>
      <x:c r="C44" s="50" t="str">
        <x:v>Baseball</x:v>
      </x:c>
      <x:c r="D44" s="50" t="str">
        <x:v>WI</x:v>
      </x:c>
      <x:c r="E44" s="50" t="str">
        <x:v>Wisconsin Dells</x:v>
      </x:c>
      <x:c r="F44" s="50" t="str">
        <x:v>South-Central Wisconsin</x:v>
      </x:c>
      <x:c r="G44" s="50" t="str">
        <x:v>9U-14U</x:v>
      </x:c>
      <x:c r="H44" s="50" t="str">
        <x:v>Organization</x:v>
      </x:c>
      <x:c r="I44" s="50" t="str">
        <x:v>Association</x:v>
      </x:c>
      <x:c r="J44" s="50" t="str"/>
      <x:c r="K44" s="50" t="str">
        <x:v>Official website</x:v>
      </x:c>
      <x:c r="L44" s="50" t="str">
        <x:v>Website contact</x:v>
      </x:c>
      <x:c r="M44" s="50" t="str">
        <x:v>https://www.wdbaseballassociation.com/travel-teams</x:v>
      </x:c>
      <x:c r="N44" s="50" t="str"/>
      <x:c r="O44" s="50" t="str"/>
      <x:c r="P44" s="50" t="str"/>
      <x:c r="Q44" s="50" t="str">
        <x:v>2026 travel team page active</x:v>
      </x:c>
      <x:c r="R44" s="50" t="str">
        <x:v>Medium</x:v>
      </x:c>
      <x:c r="S44" s="51" t="str">
        <x:v>2026-08-24</x:v>
      </x:c>
      <x:c r="T44" s="50" t="str">
        <x:v>Not contacted</x:v>
      </x:c>
      <x:c r="U44" s="50" t="str">
        <x:v>Use site contact route</x:v>
      </x:c>
    </x:row>
    <x:row r="45" ht="42" hidden="0" customHeight="1">
      <x:c r="A45" s="49" t="n">
        <x:v>44</x:v>
      </x:c>
      <x:c r="B45" s="50" t="str">
        <x:v>Yellow Jackets Softball &amp; Baseball</x:v>
      </x:c>
      <x:c r="C45" s="50" t="str">
        <x:v>Both</x:v>
      </x:c>
      <x:c r="D45" s="50" t="str">
        <x:v>WI</x:v>
      </x:c>
      <x:c r="E45" s="50" t="str">
        <x:v>Johnson Creek</x:v>
      </x:c>
      <x:c r="F45" s="50" t="str">
        <x:v>South-Central Wisconsin</x:v>
      </x:c>
      <x:c r="G45" s="50" t="str">
        <x:v>6U-18U</x:v>
      </x:c>
      <x:c r="H45" s="50" t="str">
        <x:v>Organization</x:v>
      </x:c>
      <x:c r="I45" s="50" t="str">
        <x:v>Club</x:v>
      </x:c>
      <x:c r="J45" s="50" t="str">
        <x:v>jcyellowjackets2015@gmail.com</x:v>
      </x:c>
      <x:c r="K45" s="50" t="str">
        <x:v>Organization inbox</x:v>
      </x:c>
      <x:c r="L45" s="50" t="str">
        <x:v>Email</x:v>
      </x:c>
      <x:c r="M45" s="50" t="str">
        <x:v>https://www.yellowjacketfastpitch.com/</x:v>
      </x:c>
      <x:c r="N45" s="50" t="str"/>
      <x:c r="O45" s="50" t="str"/>
      <x:c r="P45" s="50" t="str"/>
      <x:c r="Q45" s="50" t="str">
        <x:v>2026-27 tryouts and 147 athletes noted</x:v>
      </x:c>
      <x:c r="R45" s="50" t="str">
        <x:v>High</x:v>
      </x:c>
      <x:c r="S45" s="51" t="str">
        <x:v>2026-08-24</x:v>
      </x:c>
      <x:c r="T45" s="50" t="str">
        <x:v>Not contacted</x:v>
      </x:c>
      <x:c r="U45" s="50" t="str">
        <x:v>One contact reaches both sports</x:v>
      </x:c>
    </x:row>
    <x:row r="46" ht="42" hidden="0" customHeight="1">
      <x:c r="A46" s="49" t="n">
        <x:v>45</x:v>
      </x:c>
      <x:c r="B46" s="50" t="str">
        <x:v>Wisconsin Twisters Fastpitch</x:v>
      </x:c>
      <x:c r="C46" s="50" t="str">
        <x:v>Fastpitch</x:v>
      </x:c>
      <x:c r="D46" s="50" t="str">
        <x:v>WI</x:v>
      </x:c>
      <x:c r="E46" s="50" t="str">
        <x:v>Raymond</x:v>
      </x:c>
      <x:c r="F46" s="50" t="str">
        <x:v>Southeast Wisconsin</x:v>
      </x:c>
      <x:c r="G46" s="50" t="str">
        <x:v>10U-18U</x:v>
      </x:c>
      <x:c r="H46" s="50" t="str">
        <x:v>Organization</x:v>
      </x:c>
      <x:c r="I46" s="50" t="str">
        <x:v>Club</x:v>
      </x:c>
      <x:c r="J46" s="50" t="str">
        <x:v>wisconsintwisters@gmail.com</x:v>
      </x:c>
      <x:c r="K46" s="50" t="str">
        <x:v>Organization inbox</x:v>
      </x:c>
      <x:c r="L46" s="50" t="str">
        <x:v>Email</x:v>
      </x:c>
      <x:c r="M46" s="50" t="str">
        <x:v>https://www.wisconsintwistersfastpitch.com/tryouts</x:v>
      </x:c>
      <x:c r="N46" s="50" t="str"/>
      <x:c r="O46" s="50" t="str"/>
      <x:c r="P46" s="50" t="str"/>
      <x:c r="Q46" s="50" t="str">
        <x:v>2026-27 tryouts and openings posted</x:v>
      </x:c>
      <x:c r="R46" s="50" t="str">
        <x:v>High</x:v>
      </x:c>
      <x:c r="S46" s="51" t="str">
        <x:v>2026-08-24</x:v>
      </x:c>
      <x:c r="T46" s="50" t="str">
        <x:v>Not contacted</x:v>
      </x:c>
      <x:c r="U46" s="50" t="str">
        <x:v>Organization inbox preferred over individual board emails</x:v>
      </x:c>
    </x:row>
    <x:row r="47" ht="42" hidden="0" customHeight="1">
      <x:c r="A47" s="49" t="n">
        <x:v>46</x:v>
      </x:c>
      <x:c r="B47" s="50" t="str">
        <x:v>Wisconsin Rebels Fastpitch</x:v>
      </x:c>
      <x:c r="C47" s="50" t="str">
        <x:v>Fastpitch</x:v>
      </x:c>
      <x:c r="D47" s="50" t="str">
        <x:v>WI</x:v>
      </x:c>
      <x:c r="E47" s="50" t="str">
        <x:v>East-Central Wisconsin</x:v>
      </x:c>
      <x:c r="F47" s="50" t="str">
        <x:v>Northeast / East-Central</x:v>
      </x:c>
      <x:c r="G47" s="50" t="str">
        <x:v>Multiple youth</x:v>
      </x:c>
      <x:c r="H47" s="50" t="str">
        <x:v>Steve Tritt</x:v>
      </x:c>
      <x:c r="I47" s="50" t="str">
        <x:v>Program contact</x:v>
      </x:c>
      <x:c r="J47" s="50" t="str">
        <x:v>steve.tritt@appletonmarine.com</x:v>
      </x:c>
      <x:c r="K47" s="50" t="str">
        <x:v>Director email</x:v>
      </x:c>
      <x:c r="L47" s="50" t="str">
        <x:v>Email</x:v>
      </x:c>
      <x:c r="M47" s="50" t="str">
        <x:v>https://wisconsinrebelssoftball.org/</x:v>
      </x:c>
      <x:c r="N47" s="50" t="str"/>
      <x:c r="O47" s="50" t="str"/>
      <x:c r="P47" s="50" t="str"/>
      <x:c r="Q47" s="50" t="str">
        <x:v>2026 tryouts posted; site current</x:v>
      </x:c>
      <x:c r="R47" s="50" t="str">
        <x:v>High</x:v>
      </x:c>
      <x:c r="S47" s="51" t="str">
        <x:v>2026-08-24</x:v>
      </x:c>
      <x:c r="T47" s="50" t="str">
        <x:v>Not contacted</x:v>
      </x:c>
      <x:c r="U47" s="50" t="str">
        <x:v>Personal/business email published for team contact</x:v>
      </x:c>
    </x:row>
    <x:row r="48" ht="42" hidden="0" customHeight="1">
      <x:c r="A48" s="49" t="n">
        <x:v>47</x:v>
      </x:c>
      <x:c r="B48" s="50" t="str">
        <x:v>Point Fastpitch</x:v>
      </x:c>
      <x:c r="C48" s="50" t="str">
        <x:v>Fastpitch</x:v>
      </x:c>
      <x:c r="D48" s="50" t="str">
        <x:v>WI</x:v>
      </x:c>
      <x:c r="E48" s="50" t="str">
        <x:v>Stevens Point</x:v>
      </x:c>
      <x:c r="F48" s="50" t="str">
        <x:v>Central Wisconsin</x:v>
      </x:c>
      <x:c r="G48" s="50" t="str">
        <x:v>6U-18U</x:v>
      </x:c>
      <x:c r="H48" s="50" t="str">
        <x:v>Administrator</x:v>
      </x:c>
      <x:c r="I48" s="50" t="str">
        <x:v>Program</x:v>
      </x:c>
      <x:c r="J48" s="50" t="str">
        <x:v>pointfastpitch2014@gmail.com</x:v>
      </x:c>
      <x:c r="K48" s="50" t="str">
        <x:v>Organization inbox</x:v>
      </x:c>
      <x:c r="L48" s="50" t="str">
        <x:v>Email</x:v>
      </x:c>
      <x:c r="M48" s="50" t="str">
        <x:v>https://www.pointfastpitch.com/</x:v>
      </x:c>
      <x:c r="N48" s="50" t="str"/>
      <x:c r="O48" s="50" t="str"/>
      <x:c r="P48" s="50" t="str"/>
      <x:c r="Q48" s="50" t="str">
        <x:v>2026 tournament and program active</x:v>
      </x:c>
      <x:c r="R48" s="50" t="str">
        <x:v>High</x:v>
      </x:c>
      <x:c r="S48" s="51" t="str">
        <x:v>2026-08-24</x:v>
      </x:c>
      <x:c r="T48" s="50" t="str">
        <x:v>Not contacted</x:v>
      </x:c>
      <x:c r="U48" s="50" t="str">
        <x:v>Central Wisconsin organization</x:v>
      </x:c>
    </x:row>
    <x:row r="49" ht="42" hidden="0" customHeight="1">
      <x:c r="A49" s="49" t="n">
        <x:v>48</x:v>
      </x:c>
      <x:c r="B49" s="50" t="str">
        <x:v>Arrowhead Hawks Select Softball</x:v>
      </x:c>
      <x:c r="C49" s="50" t="str">
        <x:v>Fastpitch</x:v>
      </x:c>
      <x:c r="D49" s="50" t="str">
        <x:v>WI</x:v>
      </x:c>
      <x:c r="E49" s="50" t="str">
        <x:v>Hartland / Arrowhead area</x:v>
      </x:c>
      <x:c r="F49" s="50" t="str">
        <x:v>Southeast Wisconsin</x:v>
      </x:c>
      <x:c r="G49" s="50" t="str">
        <x:v>Multiple youth</x:v>
      </x:c>
      <x:c r="H49" s="50" t="str">
        <x:v>Program</x:v>
      </x:c>
      <x:c r="I49" s="50" t="str">
        <x:v>Select softball</x:v>
      </x:c>
      <x:c r="J49" s="50" t="str">
        <x:v>ladyhawks@arrowheadybs.org</x:v>
      </x:c>
      <x:c r="K49" s="50" t="str">
        <x:v>Role inbox</x:v>
      </x:c>
      <x:c r="L49" s="50" t="str">
        <x:v>Email</x:v>
      </x:c>
      <x:c r="M49" s="50" t="str">
        <x:v>https://www.arrowheadybs.org/page/show/8427206-hawks-select-softball-program</x:v>
      </x:c>
      <x:c r="N49" s="50" t="str"/>
      <x:c r="O49" s="50" t="str"/>
      <x:c r="P49" s="50" t="str"/>
      <x:c r="Q49" s="50" t="str">
        <x:v>2026 season information posted</x:v>
      </x:c>
      <x:c r="R49" s="50" t="str">
        <x:v>High</x:v>
      </x:c>
      <x:c r="S49" s="51" t="str">
        <x:v>2026-08-24</x:v>
      </x:c>
      <x:c r="T49" s="50" t="str">
        <x:v>Not contacted</x:v>
      </x:c>
      <x:c r="U49" s="50" t="str">
        <x:v>Role-based inquiry email</x:v>
      </x:c>
    </x:row>
    <x:row r="50" ht="42" hidden="0" customHeight="1">
      <x:c r="A50" s="49" t="n">
        <x:v>49</x:v>
      </x:c>
      <x:c r="B50" s="50" t="str">
        <x:v>Force Fastpitch Wisconsin</x:v>
      </x:c>
      <x:c r="C50" s="50" t="str">
        <x:v>Fastpitch</x:v>
      </x:c>
      <x:c r="D50" s="50" t="str">
        <x:v>WI</x:v>
      </x:c>
      <x:c r="E50" s="50" t="str">
        <x:v>Southeast Wisconsin</x:v>
      </x:c>
      <x:c r="F50" s="50" t="str">
        <x:v>Southeast Wisconsin</x:v>
      </x:c>
      <x:c r="G50" s="50" t="str">
        <x:v>Multiple youth</x:v>
      </x:c>
      <x:c r="H50" s="50" t="str">
        <x:v>Organization</x:v>
      </x:c>
      <x:c r="I50" s="50" t="str">
        <x:v>Club</x:v>
      </x:c>
      <x:c r="J50" s="50" t="str"/>
      <x:c r="K50" s="50" t="str">
        <x:v>Official contact page</x:v>
      </x:c>
      <x:c r="L50" s="50" t="str">
        <x:v>Website contact</x:v>
      </x:c>
      <x:c r="M50" s="50" t="str">
        <x:v>https://www.forcefastpitchwi.com/</x:v>
      </x:c>
      <x:c r="N50" s="50" t="str"/>
      <x:c r="O50" s="50" t="str"/>
      <x:c r="P50" s="50" t="str"/>
      <x:c r="Q50" s="50" t="str">
        <x:v>Current 2026 site</x:v>
      </x:c>
      <x:c r="R50" s="50" t="str">
        <x:v>Medium</x:v>
      </x:c>
      <x:c r="S50" s="51" t="str">
        <x:v>2026-08-24</x:v>
      </x:c>
      <x:c r="T50" s="50" t="str">
        <x:v>Not contacted</x:v>
      </x:c>
      <x:c r="U50" s="50" t="str">
        <x:v>Official contact form available</x:v>
      </x:c>
    </x:row>
    <x:row r="51" ht="42" hidden="0" customHeight="1">
      <x:c r="A51" s="49" t="n">
        <x:v>50</x:v>
      </x:c>
      <x:c r="B51" s="50" t="str">
        <x:v>Ripon Travel Softball</x:v>
      </x:c>
      <x:c r="C51" s="50" t="str">
        <x:v>Fastpitch</x:v>
      </x:c>
      <x:c r="D51" s="50" t="str">
        <x:v>WI</x:v>
      </x:c>
      <x:c r="E51" s="50" t="str">
        <x:v>Ripon</x:v>
      </x:c>
      <x:c r="F51" s="50" t="str">
        <x:v>East-Central Wisconsin</x:v>
      </x:c>
      <x:c r="G51" s="50" t="str">
        <x:v>8U-16U</x:v>
      </x:c>
      <x:c r="H51" s="50" t="str">
        <x:v>Organization</x:v>
      </x:c>
      <x:c r="I51" s="50" t="str">
        <x:v>Program</x:v>
      </x:c>
      <x:c r="J51" s="50" t="str">
        <x:v>softballripontravel@gmail.com</x:v>
      </x:c>
      <x:c r="K51" s="50" t="str">
        <x:v>Organization inbox</x:v>
      </x:c>
      <x:c r="L51" s="50" t="str">
        <x:v>Email</x:v>
      </x:c>
      <x:c r="M51" s="50" t="str">
        <x:v>https://www.ripontravelsoftball.com/</x:v>
      </x:c>
      <x:c r="N51" s="50" t="str"/>
      <x:c r="O51" s="50" t="str"/>
      <x:c r="P51" s="50" t="str"/>
      <x:c r="Q51" s="50" t="str">
        <x:v>2026 tournament and teams active</x:v>
      </x:c>
      <x:c r="R51" s="50" t="str">
        <x:v>High</x:v>
      </x:c>
      <x:c r="S51" s="51" t="str">
        <x:v>2026-08-24</x:v>
      </x:c>
      <x:c r="T51" s="50" t="str">
        <x:v>Not contacted</x:v>
      </x:c>
      <x:c r="U51" s="50" t="str">
        <x:v>Current program email</x:v>
      </x:c>
    </x:row>
    <x:row r="52" ht="42" hidden="0" customHeight="1">
      <x:c r="A52" s="49" t="n">
        <x:v>51</x:v>
      </x:c>
      <x:c r="B52" s="50" t="str">
        <x:v>Chippewa Valley Raptors</x:v>
      </x:c>
      <x:c r="C52" s="50" t="str">
        <x:v>Fastpitch</x:v>
      </x:c>
      <x:c r="D52" s="50" t="str">
        <x:v>WI</x:v>
      </x:c>
      <x:c r="E52" s="50" t="str">
        <x:v>Chippewa Valley</x:v>
      </x:c>
      <x:c r="F52" s="50" t="str">
        <x:v>Western Wisconsin</x:v>
      </x:c>
      <x:c r="G52" s="50" t="str">
        <x:v>Multiple youth</x:v>
      </x:c>
      <x:c r="H52" s="50" t="str">
        <x:v>Organization</x:v>
      </x:c>
      <x:c r="I52" s="50" t="str">
        <x:v>Club</x:v>
      </x:c>
      <x:c r="J52" s="50" t="str">
        <x:v>info@chippewavalleyraptors.com</x:v>
      </x:c>
      <x:c r="K52" s="50" t="str">
        <x:v>Role inbox</x:v>
      </x:c>
      <x:c r="L52" s="50" t="str">
        <x:v>Email</x:v>
      </x:c>
      <x:c r="M52" s="50" t="str">
        <x:v>https://www.chippewavalleyraptors.com/</x:v>
      </x:c>
      <x:c r="N52" s="50" t="str"/>
      <x:c r="O52" s="50" t="str"/>
      <x:c r="P52" s="50" t="str"/>
      <x:c r="Q52" s="50" t="str">
        <x:v>2026-27 registration active</x:v>
      </x:c>
      <x:c r="R52" s="50" t="str">
        <x:v>High</x:v>
      </x:c>
      <x:c r="S52" s="51" t="str">
        <x:v>2026-08-24</x:v>
      </x:c>
      <x:c r="T52" s="50" t="str">
        <x:v>Not contacted</x:v>
      </x:c>
      <x:c r="U52" s="50" t="str">
        <x:v>Western Wisconsin coverage</x:v>
      </x:c>
    </x:row>
    <x:row r="53" ht="42" hidden="0" customHeight="1">
      <x:c r="A53" s="49" t="n">
        <x:v>52</x:v>
      </x:c>
      <x:c r="B53" s="50" t="str">
        <x:v>Mosinee Youth Girls Softball</x:v>
      </x:c>
      <x:c r="C53" s="50" t="str">
        <x:v>Fastpitch</x:v>
      </x:c>
      <x:c r="D53" s="50" t="str">
        <x:v>WI</x:v>
      </x:c>
      <x:c r="E53" s="50" t="str">
        <x:v>Mosinee</x:v>
      </x:c>
      <x:c r="F53" s="50" t="str">
        <x:v>Central Wisconsin</x:v>
      </x:c>
      <x:c r="G53" s="50" t="str">
        <x:v>8U-14U</x:v>
      </x:c>
      <x:c r="H53" s="50" t="str">
        <x:v>Organization</x:v>
      </x:c>
      <x:c r="I53" s="50" t="str">
        <x:v>Program</x:v>
      </x:c>
      <x:c r="J53" s="50" t="str">
        <x:v>mosineefastpitch@gmail.com</x:v>
      </x:c>
      <x:c r="K53" s="50" t="str">
        <x:v>Organization inbox</x:v>
      </x:c>
      <x:c r="L53" s="50" t="str">
        <x:v>Email</x:v>
      </x:c>
      <x:c r="M53" s="50" t="str">
        <x:v>https://www.mosineefastpitch.com/program/travel-league/28306</x:v>
      </x:c>
      <x:c r="N53" s="50" t="str"/>
      <x:c r="O53" s="50" t="str"/>
      <x:c r="P53" s="50" t="str"/>
      <x:c r="Q53" s="50" t="str">
        <x:v>2026 rosters and coaches current</x:v>
      </x:c>
      <x:c r="R53" s="50" t="str">
        <x:v>High</x:v>
      </x:c>
      <x:c r="S53" s="51" t="str">
        <x:v>2026-08-24</x:v>
      </x:c>
      <x:c r="T53" s="50" t="str">
        <x:v>Not contacted</x:v>
      </x:c>
      <x:c r="U53" s="50" t="str">
        <x:v>Central Wisconsin program</x:v>
      </x:c>
    </x:row>
    <x:row r="54" ht="42" hidden="0" customHeight="1">
      <x:c r="A54" s="49" t="n">
        <x:v>53</x:v>
      </x:c>
      <x:c r="B54" s="50" t="str">
        <x:v>Watertown Thunder Fastpitch</x:v>
      </x:c>
      <x:c r="C54" s="50" t="str">
        <x:v>Fastpitch</x:v>
      </x:c>
      <x:c r="D54" s="50" t="str">
        <x:v>WI</x:v>
      </x:c>
      <x:c r="E54" s="50" t="str">
        <x:v>Watertown</x:v>
      </x:c>
      <x:c r="F54" s="50" t="str">
        <x:v>South-Central Wisconsin</x:v>
      </x:c>
      <x:c r="G54" s="50" t="str">
        <x:v>8U-16U</x:v>
      </x:c>
      <x:c r="H54" s="50" t="str">
        <x:v>Organization</x:v>
      </x:c>
      <x:c r="I54" s="50" t="str">
        <x:v>Club</x:v>
      </x:c>
      <x:c r="J54" s="50" t="str">
        <x:v>wttnthunder@gmail.com</x:v>
      </x:c>
      <x:c r="K54" s="50" t="str">
        <x:v>Organization inbox</x:v>
      </x:c>
      <x:c r="L54" s="50" t="str">
        <x:v>Email</x:v>
      </x:c>
      <x:c r="M54" s="50" t="str">
        <x:v>https://www.watertownsoftball.com/page/show/1681855-2026-tryouts</x:v>
      </x:c>
      <x:c r="N54" s="50" t="str"/>
      <x:c r="O54" s="50" t="str"/>
      <x:c r="P54" s="50" t="str"/>
      <x:c r="Q54" s="50" t="str">
        <x:v>2027 tryouts posted</x:v>
      </x:c>
      <x:c r="R54" s="50" t="str">
        <x:v>High</x:v>
      </x:c>
      <x:c r="S54" s="51" t="str">
        <x:v>2026-08-24</x:v>
      </x:c>
      <x:c r="T54" s="50" t="str">
        <x:v>Not contacted</x:v>
      </x:c>
      <x:c r="U54" s="50" t="str">
        <x:v>Current organization inbox</x:v>
      </x:c>
    </x:row>
    <x:row r="55" ht="42" hidden="0" customHeight="1">
      <x:c r="A55" s="49" t="n">
        <x:v>54</x:v>
      </x:c>
      <x:c r="B55" s="50" t="str">
        <x:v>Blue Hills Bombers</x:v>
      </x:c>
      <x:c r="C55" s="50" t="str">
        <x:v>Fastpitch</x:v>
      </x:c>
      <x:c r="D55" s="50" t="str">
        <x:v>WI</x:v>
      </x:c>
      <x:c r="E55" s="50" t="str">
        <x:v>Rice Lake</x:v>
      </x:c>
      <x:c r="F55" s="50" t="str">
        <x:v>Northwest Wisconsin</x:v>
      </x:c>
      <x:c r="G55" s="50" t="str">
        <x:v>8U-14U</x:v>
      </x:c>
      <x:c r="H55" s="50" t="str">
        <x:v>Rice Lake Girls Fastpitch</x:v>
      </x:c>
      <x:c r="I55" s="50" t="str">
        <x:v>Program</x:v>
      </x:c>
      <x:c r="J55" s="50" t="str">
        <x:v>ricelakegirlsfastpitch@gmail.com</x:v>
      </x:c>
      <x:c r="K55" s="50" t="str">
        <x:v>Organization inbox</x:v>
      </x:c>
      <x:c r="L55" s="50" t="str">
        <x:v>Email</x:v>
      </x:c>
      <x:c r="M55" s="50" t="str">
        <x:v>https://www.ricelakesoftball.com/bhbombers</x:v>
      </x:c>
      <x:c r="N55" s="50" t="str"/>
      <x:c r="O55" s="50" t="str"/>
      <x:c r="P55" s="50" t="str"/>
      <x:c r="Q55" s="50" t="str">
        <x:v>2027 tryouts posted</x:v>
      </x:c>
      <x:c r="R55" s="50" t="str">
        <x:v>High</x:v>
      </x:c>
      <x:c r="S55" s="51" t="str">
        <x:v>2026-08-24</x:v>
      </x:c>
      <x:c r="T55" s="50" t="str">
        <x:v>Not contacted</x:v>
      </x:c>
      <x:c r="U55" s="50" t="str">
        <x:v>Northwest Wisconsin coverage</x:v>
      </x:c>
    </x:row>
    <x:row r="56" ht="42" hidden="0" customHeight="1">
      <x:c r="A56" s="49" t="n">
        <x:v>55</x:v>
      </x:c>
      <x:c r="B56" s="50" t="str">
        <x:v>Northern Ice Fastpitch</x:v>
      </x:c>
      <x:c r="C56" s="50" t="str">
        <x:v>Fastpitch</x:v>
      </x:c>
      <x:c r="D56" s="50" t="str">
        <x:v>WI</x:v>
      </x:c>
      <x:c r="E56" s="50" t="str">
        <x:v>Northern Wisconsin</x:v>
      </x:c>
      <x:c r="F56" s="50" t="str">
        <x:v>Northern Wisconsin</x:v>
      </x:c>
      <x:c r="G56" s="50" t="str">
        <x:v>8U-18U</x:v>
      </x:c>
      <x:c r="H56" s="50" t="str">
        <x:v>Rick Eklund</x:v>
      </x:c>
      <x:c r="I56" s="50" t="str">
        <x:v>Program contact</x:v>
      </x:c>
      <x:c r="J56" s="50" t="str">
        <x:v>eklund.rick@gmail.com</x:v>
      </x:c>
      <x:c r="K56" s="50" t="str">
        <x:v>Director email</x:v>
      </x:c>
      <x:c r="L56" s="50" t="str">
        <x:v>Email</x:v>
      </x:c>
      <x:c r="M56" s="50" t="str">
        <x:v>https://www.northernicesoftball.com/</x:v>
      </x:c>
      <x:c r="N56" s="50" t="str"/>
      <x:c r="O56" s="50" t="str"/>
      <x:c r="P56" s="50" t="str"/>
      <x:c r="Q56" s="50" t="str">
        <x:v>2026-27 teams, coaches and openings posted</x:v>
      </x:c>
      <x:c r="R56" s="50" t="str">
        <x:v>High</x:v>
      </x:c>
      <x:c r="S56" s="51" t="str">
        <x:v>2026-08-24</x:v>
      </x:c>
      <x:c r="T56" s="50" t="str">
        <x:v>Not contacted</x:v>
      </x:c>
      <x:c r="U56" s="50" t="str">
        <x:v>Multiple team contacts published; director-level listed here</x:v>
      </x:c>
    </x:row>
    <x:row r="57" ht="42" hidden="0" customHeight="1">
      <x:c r="A57" s="49" t="n">
        <x:v>56</x:v>
      </x:c>
      <x:c r="B57" s="50" t="str">
        <x:v>Wauwatosa Shock</x:v>
      </x:c>
      <x:c r="C57" s="50" t="str">
        <x:v>Fastpitch</x:v>
      </x:c>
      <x:c r="D57" s="50" t="str">
        <x:v>WI</x:v>
      </x:c>
      <x:c r="E57" s="50" t="str">
        <x:v>Wauwatosa / Milwaukee</x:v>
      </x:c>
      <x:c r="F57" s="50" t="str">
        <x:v>Southeast Wisconsin</x:v>
      </x:c>
      <x:c r="G57" s="50" t="str">
        <x:v>10U-15U</x:v>
      </x:c>
      <x:c r="H57" s="50" t="str">
        <x:v>Organization</x:v>
      </x:c>
      <x:c r="I57" s="50" t="str">
        <x:v>Club</x:v>
      </x:c>
      <x:c r="J57" s="50" t="str">
        <x:v>tosashockfastpitch@gmail.com</x:v>
      </x:c>
      <x:c r="K57" s="50" t="str">
        <x:v>Organization inbox</x:v>
      </x:c>
      <x:c r="L57" s="50" t="str">
        <x:v>Email</x:v>
      </x:c>
      <x:c r="M57" s="50" t="str">
        <x:v>https://www.tosashock.com/</x:v>
      </x:c>
      <x:c r="N57" s="50" t="str"/>
      <x:c r="O57" s="50" t="str"/>
      <x:c r="P57" s="50" t="str"/>
      <x:c r="Q57" s="50" t="str">
        <x:v>2027 tryouts posted</x:v>
      </x:c>
      <x:c r="R57" s="50" t="str">
        <x:v>High</x:v>
      </x:c>
      <x:c r="S57" s="51" t="str">
        <x:v>2026-08-24</x:v>
      </x:c>
      <x:c r="T57" s="50" t="str">
        <x:v>Not contacted</x:v>
      </x:c>
      <x:c r="U57" s="50" t="str">
        <x:v>Milwaukee-area coverage</x:v>
      </x:c>
    </x:row>
    <x:row r="58" ht="42" hidden="0" customHeight="1">
      <x:c r="A58" s="49" t="n">
        <x:v>57</x:v>
      </x:c>
      <x:c r="B58" s="50" t="str">
        <x:v>Mequon Heat Softball</x:v>
      </x:c>
      <x:c r="C58" s="50" t="str">
        <x:v>Fastpitch</x:v>
      </x:c>
      <x:c r="D58" s="50" t="str">
        <x:v>WI</x:v>
      </x:c>
      <x:c r="E58" s="50" t="str">
        <x:v>Mequon / Thiensville</x:v>
      </x:c>
      <x:c r="F58" s="50" t="str">
        <x:v>Southeast Wisconsin</x:v>
      </x:c>
      <x:c r="G58" s="50" t="str">
        <x:v>10U-16U</x:v>
      </x:c>
      <x:c r="H58" s="50" t="str">
        <x:v>Organization</x:v>
      </x:c>
      <x:c r="I58" s="50" t="str">
        <x:v>Program</x:v>
      </x:c>
      <x:c r="J58" s="50" t="str">
        <x:v>tmyba12@gmail.com</x:v>
      </x:c>
      <x:c r="K58" s="50" t="str">
        <x:v>Organization inbox</x:v>
      </x:c>
      <x:c r="L58" s="50" t="str">
        <x:v>Email</x:v>
      </x:c>
      <x:c r="M58" s="50" t="str">
        <x:v>https://www.tmyba.org/heatsoftball</x:v>
      </x:c>
      <x:c r="N58" s="50" t="str"/>
      <x:c r="O58" s="50" t="str"/>
      <x:c r="P58" s="50" t="str"/>
      <x:c r="Q58" s="50" t="str">
        <x:v>2027 tryout page active</x:v>
      </x:c>
      <x:c r="R58" s="50" t="str">
        <x:v>High</x:v>
      </x:c>
      <x:c r="S58" s="51" t="str">
        <x:v>2026-08-24</x:v>
      </x:c>
      <x:c r="T58" s="50" t="str">
        <x:v>Not contacted</x:v>
      </x:c>
      <x:c r="U58" s="50" t="str">
        <x:v>Current program inbox</x:v>
      </x:c>
    </x:row>
    <x:row r="59" ht="42" hidden="0" customHeight="1">
      <x:c r="A59" s="49" t="n">
        <x:v>58</x:v>
      </x:c>
      <x:c r="B59" s="50" t="str">
        <x:v>Two Rivers Warriors Softball</x:v>
      </x:c>
      <x:c r="C59" s="50" t="str">
        <x:v>Fastpitch</x:v>
      </x:c>
      <x:c r="D59" s="50" t="str">
        <x:v>WI</x:v>
      </x:c>
      <x:c r="E59" s="50" t="str">
        <x:v>Two Rivers</x:v>
      </x:c>
      <x:c r="F59" s="50" t="str">
        <x:v>Northeast Wisconsin</x:v>
      </x:c>
      <x:c r="G59" s="50" t="str">
        <x:v>10U-16U</x:v>
      </x:c>
      <x:c r="H59" s="50" t="str">
        <x:v>Softball Committee</x:v>
      </x:c>
      <x:c r="I59" s="50" t="str">
        <x:v>Program</x:v>
      </x:c>
      <x:c r="J59" s="50" t="str">
        <x:v>softball@traawarriors.com</x:v>
      </x:c>
      <x:c r="K59" s="50" t="str">
        <x:v>Role inbox</x:v>
      </x:c>
      <x:c r="L59" s="50" t="str">
        <x:v>Email</x:v>
      </x:c>
      <x:c r="M59" s="50" t="str">
        <x:v>https://www.traawarriors.com/softball-evals</x:v>
      </x:c>
      <x:c r="N59" s="50" t="str"/>
      <x:c r="O59" s="50" t="str"/>
      <x:c r="P59" s="50" t="str"/>
      <x:c r="Q59" s="50" t="str">
        <x:v>2027 evaluations posted</x:v>
      </x:c>
      <x:c r="R59" s="50" t="str">
        <x:v>High</x:v>
      </x:c>
      <x:c r="S59" s="51" t="str">
        <x:v>2026-08-24</x:v>
      </x:c>
      <x:c r="T59" s="50" t="str">
        <x:v>Not contacted</x:v>
      </x:c>
      <x:c r="U59" s="50" t="str">
        <x:v>Northeast Wisconsin coverage</x:v>
      </x:c>
    </x:row>
  </x:sheetData>
  <x:conditionalFormatting sqref="R2:R59">
    <x:cfRule type="containsText" dxfId="0" priority="1" operator="containsText" text="High"/>
    <x:cfRule type="containsText" dxfId="1" priority="2" operator="containsText" text="Medium"/>
  </x:conditionalFormatting>
  <x:conditionalFormatting sqref="T2:T59">
    <x:cfRule type="containsText" dxfId="2" priority="3" operator="containsText" text="Replied"/>
    <x:cfRule type="containsText" dxfId="3" priority="4" operator="containsText" text="Opted out"/>
  </x:conditionalFormatting>
  <x:dataValidations count="1">
    <x:dataValidation type="list" sqref="T2:T59">
      <x:formula1>"Not contacted,Queued,Sent,Replied,Not interested,Opted out,Bad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8af448f5294b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3" hidden="0" customWidth="1"/>
    <x:col min="4" max="4" width="28" hidden="0" customWidth="1"/>
    <x:col min="5" max="5" width="31" hidden="0" customWidth="1"/>
    <x:col min="6" max="6" width="46" hidden="0" customWidth="1"/>
    <x:col min="7" max="7" width="48" hidden="0" customWidth="1"/>
  </x:cols>
  <x:sheetData>
    <x:row r="1" ht="15" hidden="0" customHeight="1">
      <x:c r="A1" s="52" t="str">
        <x:v>Directory / Community</x:v>
      </x:c>
      <x:c r="B1" s="52" t="str">
        <x:v>State</x:v>
      </x:c>
      <x:c r="C1" s="52" t="str">
        <x:v>Sport</x:v>
      </x:c>
      <x:c r="D1" s="52" t="str">
        <x:v>Current Scope</x:v>
      </x:c>
      <x:c r="E1" s="52" t="str">
        <x:v>Public Email</x:v>
      </x:c>
      <x:c r="F1" s="52" t="str">
        <x:v>URL</x:v>
      </x:c>
      <x:c r="G1" s="52" t="str">
        <x:v>How to Use</x:v>
      </x:c>
    </x:row>
    <x:row r="2" ht="48" hidden="0" customHeight="1">
      <x:c r="A2" s="50" t="str">
        <x:v>Wisconsin Fastpitch League team directory</x:v>
      </x:c>
      <x:c r="B2" s="50" t="str">
        <x:v>WI</x:v>
      </x:c>
      <x:c r="C2" s="50" t="str">
        <x:v>Fastpitch</x:v>
      </x:c>
      <x:c r="D2" s="50" t="str">
        <x:v>175 registered teams for 2026</x:v>
      </x:c>
      <x:c r="E2" s="50" t="str">
        <x:v>director@wisconsinfastpitchleague.com</x:v>
      </x:c>
      <x:c r="F2" s="50" t="str">
        <x:v>https://www.wisconsinfastpitchleague.com/team-pages-and-contacts</x:v>
      </x:c>
      <x:c r="G2" s="50" t="str">
        <x:v>High-value discovery hub; coach-contact page is password protected, so use public team pages only</x:v>
      </x:c>
    </x:row>
    <x:row r="3" ht="48" hidden="0" customHeight="1">
      <x:c r="A3" s="50" t="str">
        <x:v>Wisconsin Fastpitch League</x:v>
      </x:c>
      <x:c r="B3" s="50" t="str">
        <x:v>WI</x:v>
      </x:c>
      <x:c r="C3" s="50" t="str">
        <x:v>Fastpitch</x:v>
      </x:c>
      <x:c r="D3" s="50" t="str">
        <x:v>League contact</x:v>
      </x:c>
      <x:c r="E3" s="50" t="str">
        <x:v>director@wisconsinfastpitchleague.com</x:v>
      </x:c>
      <x:c r="F3" s="50" t="str">
        <x:v>https://www.wisconsinfastpitchleague.com/</x:v>
      </x:c>
      <x:c r="G3" s="50" t="str">
        <x:v>Ask about sponsorship or approved league-wide outreach</x:v>
      </x:c>
    </x:row>
    <x:row r="4" ht="48" hidden="0" customHeight="1">
      <x:c r="A4" s="50" t="str">
        <x:v>Wisconsin Fastpitch</x:v>
      </x:c>
      <x:c r="B4" s="50" t="str">
        <x:v>WI</x:v>
      </x:c>
      <x:c r="C4" s="50" t="str">
        <x:v>Fastpitch</x:v>
      </x:c>
      <x:c r="D4" s="50" t="str">
        <x:v>2026 tournament operator</x:v>
      </x:c>
      <x:c r="E4" s="50" t="str">
        <x:v>wisconsinfastpitch@charter.net</x:v>
      </x:c>
      <x:c r="F4" s="50" t="str">
        <x:v>https://wisconsinfastpitch.com/</x:v>
      </x:c>
      <x:c r="G4" s="50" t="str">
        <x:v>Potential tournament/organizer partnership</x:v>
      </x:c>
    </x:row>
    <x:row r="5" ht="48" hidden="0" customHeight="1">
      <x:c r="A5" s="50" t="str">
        <x:v>Wisconsin USSSA Fastpitch</x:v>
      </x:c>
      <x:c r="B5" s="50" t="str">
        <x:v>WI</x:v>
      </x:c>
      <x:c r="C5" s="50" t="str">
        <x:v>Fastpitch</x:v>
      </x:c>
      <x:c r="D5" s="50" t="str">
        <x:v>State office / contact form</x:v>
      </x:c>
      <x:c r="E5" s="50" t="str"/>
      <x:c r="F5" s="50" t="str">
        <x:v>https://wifastpitch.usssa.com/contact-us/</x:v>
      </x:c>
      <x:c r="G5" s="50" t="str">
        <x:v>Ask about permitted sponsorship or event outreach</x:v>
      </x:c>
    </x:row>
    <x:row r="6" ht="48" hidden="0" customHeight="1">
      <x:c r="A6" s="50" t="str">
        <x:v>Wisconsin Baseball Association</x:v>
      </x:c>
      <x:c r="B6" s="50" t="str">
        <x:v>WI</x:v>
      </x:c>
      <x:c r="C6" s="50" t="str">
        <x:v>Baseball</x:v>
      </x:c>
      <x:c r="D6" s="50" t="str">
        <x:v>2026 SE Wisconsin league</x:v>
      </x:c>
      <x:c r="E6" s="50" t="str">
        <x:v>wbaleague@outlook.com</x:v>
      </x:c>
      <x:c r="F6" s="50" t="str">
        <x:v>https://baseball.exposureevents.com/249330/2026-wba</x:v>
      </x:c>
      <x:c r="G6" s="50" t="str">
        <x:v>League contact can reach multiple teams</x:v>
      </x:c>
    </x:row>
    <x:row r="7" ht="48" hidden="0" customHeight="1">
      <x:c r="A7" s="50" t="str">
        <x:v>Illinois Fastpitch USSSA</x:v>
      </x:c>
      <x:c r="B7" s="50" t="str">
        <x:v>IL</x:v>
      </x:c>
      <x:c r="C7" s="50" t="str">
        <x:v>Fastpitch</x:v>
      </x:c>
      <x:c r="D7" s="50" t="str">
        <x:v>State directors</x:v>
      </x:c>
      <x:c r="E7" s="50" t="str">
        <x:v>perry.clark@usssa.com</x:v>
      </x:c>
      <x:c r="F7" s="50" t="str">
        <x:v>https://ilusssa.net/contact-fp</x:v>
      </x:c>
      <x:c r="G7" s="50" t="str">
        <x:v>Ask about sponsorship or approved event outreach</x:v>
      </x:c>
    </x:row>
    <x:row r="8" ht="48" hidden="0" customHeight="1">
      <x:c r="A8" s="50" t="str">
        <x:v>Illinois Travel Baseball League</x:v>
      </x:c>
      <x:c r="B8" s="50" t="str">
        <x:v>IL</x:v>
      </x:c>
      <x:c r="C8" s="50" t="str">
        <x:v>Baseball</x:v>
      </x:c>
      <x:c r="D8" s="50" t="str">
        <x:v>League contact</x:v>
      </x:c>
      <x:c r="E8" s="50" t="str">
        <x:v>webmaster@iltbl.com</x:v>
      </x:c>
      <x:c r="F8" s="50" t="str">
        <x:v>https://www.iltbl.com/contact-us.html</x:v>
      </x:c>
      <x:c r="G8" s="50" t="str">
        <x:v>Public league contact; verify current participation before campaign</x:v>
      </x:c>
    </x:row>
    <x:row r="9" ht="48" hidden="0" customHeight="1">
      <x:c r="A9" s="50" t="str">
        <x:v>Alliance Fastpitch Illinois tryouts</x:v>
      </x:c>
      <x:c r="B9" s="50" t="str">
        <x:v>IL</x:v>
      </x:c>
      <x:c r="C9" s="50" t="str">
        <x:v>Fastpitch</x:v>
      </x:c>
      <x:c r="D9" s="50" t="str">
        <x:v>2026 club/tryout finder</x:v>
      </x:c>
      <x:c r="E9" s="50" t="str"/>
      <x:c r="F9" s="50" t="str">
        <x:v>https://thealliancefastpitch.com/tryouts/?age_division=All&amp;league=All&amp;season=2026&amp;state=IL&amp;type=All</x:v>
      </x:c>
      <x:c r="G9" s="50" t="str">
        <x:v>Discovery source for additional clubs</x:v>
      </x:c>
    </x:row>
    <x:row r="10" ht="48" hidden="0" customHeight="1">
      <x:c r="A10" s="50" t="str">
        <x:v>Illinois fastpitch Facebook-group guide</x:v>
      </x:c>
      <x:c r="B10" s="50" t="str">
        <x:v>IL</x:v>
      </x:c>
      <x:c r="C10" s="50" t="str">
        <x:v>Fastpitch</x:v>
      </x:c>
      <x:c r="D10" s="50" t="str">
        <x:v>Lists active community groups</x:v>
      </x:c>
      <x:c r="E10" s="50" t="str"/>
      <x:c r="F10" s="50" t="str">
        <x:v>https://sites.google.com/peotoneschools.org/pjhssoftball/travel-general-info</x:v>
      </x:c>
      <x:c r="G10" s="50" t="str">
        <x:v>Useful DM/posting communities; follow each group’s promotion rules</x:v>
      </x:c>
    </x:row>
    <x:row r="11" ht="48" hidden="0" customHeight="1">
      <x:c r="A11" s="50" t="str">
        <x:v>Chicago Area Travel Baseball Facebook group</x:v>
      </x:c>
      <x:c r="B11" s="50" t="str">
        <x:v>IL</x:v>
      </x:c>
      <x:c r="C11" s="50" t="str">
        <x:v>Baseball</x:v>
      </x:c>
      <x:c r="D11" s="50" t="str">
        <x:v>Regional community group</x:v>
      </x:c>
      <x:c r="E11" s="50" t="str"/>
      <x:c r="F11" s="50" t="str">
        <x:v>https://www.facebook.com/groups/299529534596390/</x:v>
      </x:c>
      <x:c r="G11" s="50" t="str">
        <x:v>Request admin approval before promotional posting</x:v>
      </x:c>
    </x:row>
    <x:row r="12" ht="48" hidden="0" customHeight="1">
      <x:c r="A12" s="50" t="str">
        <x:v>USA Scout Team Nike Midwest</x:v>
      </x:c>
      <x:c r="B12" s="50" t="str">
        <x:v>IL / WI</x:v>
      </x:c>
      <x:c r="C12" s="50" t="str">
        <x:v>Baseball</x:v>
      </x:c>
      <x:c r="D12" s="50" t="str">
        <x:v>Regional social hub</x:v>
      </x:c>
      <x:c r="E12" s="50" t="str">
        <x:v>midwest@usascoutbaseball.com</x:v>
      </x:c>
      <x:c r="F12" s="50" t="str">
        <x:v>https://linktr.ee/USAscoutMidwest</x:v>
      </x:c>
      <x:c r="G12" s="50" t="str">
        <x:v>Linktree includes Facebook, Instagram and X</x:v>
      </x:c>
    </x:row>
    <x:row r="13" ht="48" hidden="0" customHeight="1">
      <x:c r="A13" s="50" t="str">
        <x:v>USSSA Illinois Fastpitch state office</x:v>
      </x:c>
      <x:c r="B13" s="50" t="str">
        <x:v>IL</x:v>
      </x:c>
      <x:c r="C13" s="50" t="str">
        <x:v>Fastpitch</x:v>
      </x:c>
      <x:c r="D13" s="50" t="str">
        <x:v>State organizer</x:v>
      </x:c>
      <x:c r="E13" s="50" t="str">
        <x:v>lori.strode@usssa.com</x:v>
      </x:c>
      <x:c r="F13" s="50" t="str">
        <x:v>https://ilfastpitch.usssa.com/contact-us/</x:v>
      </x:c>
      <x:c r="G13" s="50" t="str">
        <x:v>Southern Illinois state contact listed publicly</x:v>
      </x:c>
    </x:row>
  </x:sheetData>
  <x:pageMargins left="0.7" right="0.7" top="0.75" bottom="0.75" header="0.3" footer="0.3"/>
  <x:tableParts count="1">
    <x:tablePart xmlns:r="http://schemas.openxmlformats.org/officeDocument/2006/relationships" r:id="R640c9921da5a41b2"/>
  </x:tableParts>
</x:worksheet>
</file>